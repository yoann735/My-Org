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Étapes (2 portions)" sheetId="2" state="visible" r:id="rId4"/>
    <sheet name="Nutrition" sheetId="3" state="visible" r:id="rId5"/>
    <sheet name="Recettes v3 (1 pers)" sheetId="4" state="visible" r:id="rId6"/>
    <sheet name="S1" sheetId="5" state="visible" r:id="rId7"/>
    <sheet name="S2" sheetId="6" state="visible" r:id="rId8"/>
    <sheet name="S3" sheetId="7" state="visible" r:id="rId9"/>
    <sheet name="S4" sheetId="8" state="visible" r:id="rId10"/>
    <sheet name="S5" sheetId="9" state="visible" r:id="rId11"/>
    <sheet name="S6" sheetId="10" state="visible" r:id="rId12"/>
    <sheet name="S7" sheetId="11" state="visible" r:id="rId13"/>
    <sheet name="S8" sheetId="12" state="visible" r:id="rId14"/>
    <sheet name="S9" sheetId="13" state="visible" r:id="rId15"/>
    <sheet name="Options week-end" sheetId="14" state="visible" r:id="rId16"/>
    <sheet name="Méthode" sheetId="15" state="visible" r:id="rId17"/>
  </sheets>
  <definedNames>
    <definedName function="false" hidden="true" localSheetId="3" name="_xlnm._FilterDatabase" vbProcedure="false">'Recettes v3 (1 pers)'!$A$3:$I$242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<sst xmlns="http://schemas.openxmlformats.org/spreadsheetml/2006/main" count="6810" uniqueCount="1040">
  <si>
    <t xml:space="preserve">Plans repas — 9 semaines indépendantes — 24 recettes — Chronodrive Compiègne, retrait le dimanche — budget midi + soir ≤ 55 €</t>
  </si>
  <si>
    <t xml:space="preserve">Modèle : dimanche soir pizza ; lundi → vendredi soir 5 recettes cuisinées en double portion (midi du lendemain) ; samedi soir + dimanche midi = 1 plat surgelé 900 g coupé en deux. 2 articles au congélateur maximum. Chaque recette au plus 2 fois sur 9 semaines, jamais 2 semaines de suite. Placard/bases comptés au PRIX PLEIN. S1 = inchangée (panier déjà fait). Prix Chronodrive relevés les 01-02/09/2026 ; pesto vert et sauce tomate-basilic estimés (relevés Carrefour Bomerée du 12/10 en note).</t>
  </si>
  <si>
    <t xml:space="preserve">Semaine</t>
  </si>
  <si>
    <t xml:space="preserve">Recettes (lundi → vendredi)</t>
  </si>
  <si>
    <t xml:space="preserve">Plat week-end</t>
  </si>
  <si>
    <t xml:space="preserve">Pizza</t>
  </si>
  <si>
    <t xml:space="preserve">Courses recettes (formats entiers) €</t>
  </si>
  <si>
    <t xml:space="preserve">Placard / bases prix plein €</t>
  </si>
  <si>
    <t xml:space="preserve">Week-end €</t>
  </si>
  <si>
    <t xml:space="preserve">TOTAL €</t>
  </si>
  <si>
    <t xml:space="preserve">Marge vs 55 €</t>
  </si>
  <si>
    <t xml:space="preserve">Gâchis estimé €</t>
  </si>
  <si>
    <t xml:space="preserve">Stock sec €</t>
  </si>
  <si>
    <t xml:space="preserve">kcal moyen / portion</t>
  </si>
  <si>
    <t xml:space="preserve">Prot moy. g</t>
  </si>
  <si>
    <t xml:space="preserve">Gluc moy. g</t>
  </si>
  <si>
    <t xml:space="preserve">Lip moy. g</t>
  </si>
  <si>
    <t xml:space="preserve">S1</t>
  </si>
  <si>
    <t xml:space="preserve">10. Côtes d'échine à la moutarde et à la crème + spaghetti · 16. « Couscous » étudiant poulet, carottes, pois chiches · 5. Pâtes à la « carbonara » à la française · 9. Riz au chorizo et poivrons (façon paella express) · 15. Saucisses-lentilles express (lentilles en conserve)</t>
  </si>
  <si>
    <t xml:space="preserve">Auchan Poulet basquaise et riz 900 g</t>
  </si>
  <si>
    <t xml:space="preserve">Auchan Pizza royale jambon-fromage-olives 400 g</t>
  </si>
  <si>
    <t xml:space="preserve">S2</t>
  </si>
  <si>
    <t xml:space="preserve">3. Croque-monsieur express · 2. Gnocchis aux épinards, crème et lardons · 22. Frittata d'été aux courgettes et mozzarella filante (+ pain) · 21. Risotto de coquillettes au jambon, petits pois et parmesan · 24. Pâtes sauce tomate-basilic, mozzarella fondante &amp; parmesan</t>
  </si>
  <si>
    <t xml:space="preserve">Auchan Penne poulet-champignons 900 g</t>
  </si>
  <si>
    <t xml:space="preserve">Ristorante 4 fromages 340 g</t>
  </si>
  <si>
    <t xml:space="preserve">S3</t>
  </si>
  <si>
    <t xml:space="preserve">10. Côtes d'échine à la moutarde et à la crème + spaghetti · 12. Ravioli poêlés à la tomate et mozzarella · 23. Pâtes pesto caprese (boule de mozzarella, tomates cerises) · 1. Poulet au curry, lait de coco et noix de cajou + riz · 7. Quesadillas chorizo-emmental &amp; avocat (version éco)</t>
  </si>
  <si>
    <t xml:space="preserve">Marie Lasagnes à la bolognaise 1 kg</t>
  </si>
  <si>
    <t xml:space="preserve">Auchan Pizza au chèvre 390 g</t>
  </si>
  <si>
    <t xml:space="preserve">S4</t>
  </si>
  <si>
    <t xml:space="preserve">16. « Couscous » étudiant poulet, carottes, pois chiches · 24. Pâtes sauce tomate-basilic, mozzarella fondante &amp; parmesan · 9. Riz au chorizo et poivrons (façon paella express) · 19. Pâtes crémeuses au chèvre, miel et lardons · 15. Saucisses-lentilles express (lentilles en conserve)</t>
  </si>
  <si>
    <t xml:space="preserve">Auchan Torsades à la carbonara 900 g</t>
  </si>
  <si>
    <t xml:space="preserve">Auchan Pizza bolognaise 390 g</t>
  </si>
  <si>
    <t xml:space="preserve">S5</t>
  </si>
  <si>
    <t xml:space="preserve">13. Tortellini aux champignons, sauce crème-parmesan · 21. Risotto de coquillettes au jambon, petits pois et parmesan · 5. Pâtes à la « carbonara » à la française · 14. Risotto aux lardons et champignons · 20. One pot pasta chorizo-basilic</t>
  </si>
  <si>
    <t xml:space="preserve">Auchan Riz cantonais 900 g</t>
  </si>
  <si>
    <t xml:space="preserve">Auchan Les Italiennes 4 fromages 340 g</t>
  </si>
  <si>
    <t xml:space="preserve">S6</t>
  </si>
  <si>
    <t xml:space="preserve">3. Croque-monsieur express · 8. Pâtes au pesto rosso et au poulet (+ parmesan) · 12. Ravioli poêlés à la tomate et mozzarella · 22. Frittata d'été aux courgettes et mozzarella filante (+ pain) · 1. Poulet au curry, lait de coco et noix de cajou + riz</t>
  </si>
  <si>
    <t xml:space="preserve">Auchan Paëlla poulet-crevettes-chorizo 900 g</t>
  </si>
  <si>
    <t xml:space="preserve">Auchan Pizza chorizo-poivrons 390 g</t>
  </si>
  <si>
    <t xml:space="preserve">S7</t>
  </si>
  <si>
    <t xml:space="preserve">11. Raviolis frais à la sauce tomate-crème (poivron, épices) · 13. Tortellini aux champignons, sauce crème-parmesan · 18. Chakchouka au chèvre frais &amp; pains pita · 14. Risotto aux lardons et champignons · 20. One pot pasta chorizo-basilic</t>
  </si>
  <si>
    <t xml:space="preserve">Bonduelle Poêlée gnocchi-épinards 750 g</t>
  </si>
  <si>
    <t xml:space="preserve">Ristorante margherita 355 g</t>
  </si>
  <si>
    <t xml:space="preserve">S8</t>
  </si>
  <si>
    <t xml:space="preserve">4. Hachis parmentier rapide (purée en flocons) · 2. Gnocchis aux épinards, crème et lardons · 8. Pâtes au pesto rosso et au poulet (+ parmesan) · 23. Pâtes pesto caprese (boule de mozzarella, tomates cerises) · 7. Quesadillas chorizo-emmental &amp; avocat (version éco)</t>
  </si>
  <si>
    <t xml:space="preserve">Auchan Poêlée campagnarde 900 g</t>
  </si>
  <si>
    <t xml:space="preserve">Auchan Pizza poulet barbecue 390 g</t>
  </si>
  <si>
    <t xml:space="preserve">S9</t>
  </si>
  <si>
    <t xml:space="preserve">6. Poulet à la crème et aux champignons + spaghetti · 11. Raviolis frais à la sauce tomate-crème (poivron, épices) · 17. Poulet basquaise et son riz · 18. Chakchouka au chèvre frais &amp; pains pita · 19. Pâtes crémeuses au chèvre, miel et lardons</t>
  </si>
  <si>
    <t xml:space="preserve">Bonduelle Poêlée gnocchi-tomate 750 g</t>
  </si>
  <si>
    <t xml:space="preserve">Étapes complètes des 24 recettes — QUANTITÉS POUR 2 PORTIONS — substitutions éco intégrées</t>
  </si>
  <si>
    <t xml:space="preserve">1. Poulet au curry, lait de coco et noix de cajou + riz</t>
  </si>
  <si>
    <t xml:space="preserve">Source</t>
  </si>
  <si>
    <t xml:space="preserve">Marmiton — https://www.marmiton.org/recettes/recette_poulet-au-curry-lait-de-coco-et-noix-de-cajou_37398.aspx</t>
  </si>
  <si>
    <t xml:space="preserve">Temps</t>
  </si>
  <si>
    <t xml:space="preserve">25 min (10 + 15)</t>
  </si>
  <si>
    <t xml:space="preserve">Ustensiles</t>
  </si>
  <si>
    <t xml:space="preserve">Sauteuse + casserole</t>
  </si>
  <si>
    <t xml:space="preserve">Substitutions</t>
  </si>
  <si>
    <t xml:space="preserve">aucune</t>
  </si>
  <si>
    <t xml:space="preserve">Ingrédients (2 portions)</t>
  </si>
  <si>
    <t xml:space="preserve">Qté</t>
  </si>
  <si>
    <t xml:space="preserve">Unité</t>
  </si>
  <si>
    <t xml:space="preserve">Équivalent</t>
  </si>
  <si>
    <t xml:space="preserve">Produit Chronodrive</t>
  </si>
  <si>
    <t xml:space="preserve">Origine</t>
  </si>
  <si>
    <t xml:space="preserve">Filet de poulet</t>
  </si>
  <si>
    <t xml:space="preserve">g</t>
  </si>
  <si>
    <t xml:space="preserve">1 filet</t>
  </si>
  <si>
    <t xml:space="preserve">Filets de poulet</t>
  </si>
  <si>
    <t xml:space="preserve">recette</t>
  </si>
  <si>
    <t xml:space="preserve">Lait de coco</t>
  </si>
  <si>
    <t xml:space="preserve">ml</t>
  </si>
  <si>
    <t xml:space="preserve">½ brique de 20 cl</t>
  </si>
  <si>
    <t xml:space="preserve">Curry en poudre</t>
  </si>
  <si>
    <t xml:space="preserve">1 cc rase</t>
  </si>
  <si>
    <t xml:space="preserve">Curry en poudre Ducros 47 g</t>
  </si>
  <si>
    <t xml:space="preserve">placard</t>
  </si>
  <si>
    <t xml:space="preserve">Sauce soja</t>
  </si>
  <si>
    <t xml:space="preserve">1 cc</t>
  </si>
  <si>
    <t xml:space="preserve">Noix de cajou grillées salées</t>
  </si>
  <si>
    <t xml:space="preserve">1 petite poignée</t>
  </si>
  <si>
    <t xml:space="preserve">Noix de cajou</t>
  </si>
  <si>
    <t xml:space="preserve">Maïzena</t>
  </si>
  <si>
    <t xml:space="preserve">1 cc bombée</t>
  </si>
  <si>
    <t xml:space="preserve">Farine T45</t>
  </si>
  <si>
    <t xml:space="preserve">Huile</t>
  </si>
  <si>
    <t xml:space="preserve">1 cs</t>
  </si>
  <si>
    <t xml:space="preserve">Huile de tournesol</t>
  </si>
  <si>
    <t xml:space="preserve">Riz long cru</t>
  </si>
  <si>
    <t xml:space="preserve">½ verre</t>
  </si>
  <si>
    <t xml:space="preserve">Riz long</t>
  </si>
  <si>
    <t xml:space="preserve">ajout</t>
  </si>
  <si>
    <t xml:space="preserve">Sel</t>
  </si>
  <si>
    <t xml:space="preserve">1 pincée</t>
  </si>
  <si>
    <t xml:space="preserve">Sel / poivre</t>
  </si>
  <si>
    <t xml:space="preserve">Poivre</t>
  </si>
  <si>
    <t xml:space="preserve">1 tour de moulin</t>
  </si>
  <si>
    <t xml:space="preserve">Étape</t>
  </si>
  <si>
    <t xml:space="preserve">Consigne (2 portions)</t>
  </si>
  <si>
    <t xml:space="preserve">Riz : verser 160 g de riz long dans une casserole avec 240 ml d'eau et 1 pincée de sel. Porter à ébullition, couvrir, baisser à feu doux, cuire 11 min sans soulever le couvercle, puis couper le feu et laisser reposer 5 min à couvert.</t>
  </si>
  <si>
    <t xml:space="preserve">Concasser 40 g de noix de cajou (fond d'un verre dans une assiette creuse) : moitié poudre, moitié petits morceaux.</t>
  </si>
  <si>
    <t xml:space="preserve">Couper 260 g de filet de poulet en cubes de 1-2 cm. Les mettre dans un bol avec 10 g de farine (2 cc) et mélanger pour les enrober.</t>
  </si>
  <si>
    <t xml:space="preserve">Chauffer 30 ml d'huile (2 cs) dans une sauteuse à feu moyen-vif. Ajouter 4 g de curry (2 cc) et laisser chauffer 30 s jusqu'à ce que ça sente.</t>
  </si>
  <si>
    <t xml:space="preserve">Ajouter le poulet, faire dorer 5 min en remuant.</t>
  </si>
  <si>
    <t xml:space="preserve">Verser 10 ml de sauce soja (2 cc) puis 200 ml de lait de coco (1 brique). Mélanger, baisser à feu doux, laisser cuire 10 min : la sauce épaissit grâce à la farine.</t>
  </si>
  <si>
    <t xml:space="preserve">5 min avant la fin, ajouter les noix de cajou. Saler légèrement, poivrer.</t>
  </si>
  <si>
    <t xml:space="preserve">Servir la moitié sur la moitié du riz. Laisser refroidir l'autre moitié (riz et sauce séparés) avant de mettre en boîte au frigo pour le lendemain midi.</t>
  </si>
  <si>
    <t xml:space="preserve">2. Gnocchis aux épinards, crème et lardons</t>
  </si>
  <si>
    <t xml:space="preserve">Marmiton — https://www.marmiton.org/recettes/recette_gnocchi-aux-epinards-creme-et-lardons_537272.aspx</t>
  </si>
  <si>
    <t xml:space="preserve">12 min (5 + 7)</t>
  </si>
  <si>
    <t xml:space="preserve">Casserole + poêle</t>
  </si>
  <si>
    <t xml:space="preserve">Gnocchis (frais, à poêler ou à pocher)</t>
  </si>
  <si>
    <t xml:space="preserve">½ paquet de 500 g</t>
  </si>
  <si>
    <t xml:space="preserve">Gnocchis à poêler</t>
  </si>
  <si>
    <t xml:space="preserve">Oignon</t>
  </si>
  <si>
    <t xml:space="preserve">½ oignon moyen</t>
  </si>
  <si>
    <t xml:space="preserve">Oignons jaunes</t>
  </si>
  <si>
    <t xml:space="preserve">Lardons fumés</t>
  </si>
  <si>
    <t xml:space="preserve">½ sachet de 100 g + un peu</t>
  </si>
  <si>
    <t xml:space="preserve">Parmesan râpé (ou emmental)</t>
  </si>
  <si>
    <t xml:space="preserve">2 cs</t>
  </si>
  <si>
    <t xml:space="preserve">Emmental râpé</t>
  </si>
  <si>
    <t xml:space="preserve">Crème liquide</t>
  </si>
  <si>
    <t xml:space="preserve">Crème liquide UHT</t>
  </si>
  <si>
    <t xml:space="preserve">Pousses d'épinards</t>
  </si>
  <si>
    <t xml:space="preserve">2 grosses poignées</t>
  </si>
  <si>
    <t xml:space="preserve">Pousses d'épinard</t>
  </si>
  <si>
    <t xml:space="preserve">Porter une casserole d'eau salée à ébullition. Y plonger 500 g de gnocchis 2-3 min : dès qu'ils remontent à la surface, égoutter et réserver.</t>
  </si>
  <si>
    <t xml:space="preserve">Émincer 100 g d'oignon (1 oignon) en petits dés.</t>
  </si>
  <si>
    <t xml:space="preserve">Dans une grande poêle, faire revenir l'oignon avec 120 g de lardons 3 min à feu moyen, sans matière grasse, jusqu'à coloration.</t>
  </si>
  <si>
    <t xml:space="preserve">Verser 200 ml de crème fluide (1 brique) et 40 g de grana padano râpé. Laisser réduire d'un quart, 3-4 min à petits bouillons.</t>
  </si>
  <si>
    <t xml:space="preserve">Ajouter 100 g de pousses d'épinard et les gnocchis. Mélanger, laisser mijoter 4 min : les épinards tombent, la sauce nappe.</t>
  </si>
  <si>
    <t xml:space="preserve">Poivrer généreusement, saler très peu (lardons + fromage salent déjà). Servir la moitié ; l'autre moitié en boîte au frigo, réchauffer 3 min à la poêle avec 1 cs d'eau.</t>
  </si>
  <si>
    <t xml:space="preserve">3. Croque-monsieur express</t>
  </si>
  <si>
    <t xml:space="preserve">Marmiton — https://www.marmiton.org/recettes/recette_croque-monsieur-express_19367.aspx</t>
  </si>
  <si>
    <t xml:space="preserve">25 min (5 + 20)</t>
  </si>
  <si>
    <t xml:space="preserve">Four (ou poêle couverte)</t>
  </si>
  <si>
    <t xml:space="preserve">Pain de mie (tranches carrées)</t>
  </si>
  <si>
    <t xml:space="preserve">4 tranches (≈ 40 g/tranche) = 2 croques</t>
  </si>
  <si>
    <t xml:space="preserve">Pain de mie</t>
  </si>
  <si>
    <t xml:space="preserve">Crème fraîche épaisse</t>
  </si>
  <si>
    <t xml:space="preserve">3 cs</t>
  </si>
  <si>
    <t xml:space="preserve">Crème fraîche épaisse 15 %</t>
  </si>
  <si>
    <t xml:space="preserve">Gruyère / emmental râpé</t>
  </si>
  <si>
    <t xml:space="preserve">1 grosse poignée</t>
  </si>
  <si>
    <t xml:space="preserve">Jambon blanc</t>
  </si>
  <si>
    <t xml:space="preserve">2 tranches</t>
  </si>
  <si>
    <t xml:space="preserve">Préchauffer le four à 210 °C (thermostat 7). Sans four : prévoir une grande poêle avec couvercle.</t>
  </si>
  <si>
    <t xml:space="preserve">Dans un bol, mélanger 120 g de crème fraîche épaisse (6 cs) et 100 g d'emmental râpé. Saler une pincée, poivrer.</t>
  </si>
  <si>
    <t xml:space="preserve">Poser 4 tranches de pain de mie. Étaler le mélange crème-fromage sur chacune. Poser 1 tranche de jambon pliée (140 g au total = 4 tranches) sur chaque tranche de pain.</t>
  </si>
  <si>
    <t xml:space="preserve">Refermer chaque croque avec une 5e-8e tranche de pain, elle aussi tartinée du mélange côté intérieur. Étaler le reste du mélange sur le dessus des 4 croques.</t>
  </si>
  <si>
    <t xml:space="preserve">Four : 20 min à mi-hauteur, jusqu'à ce que le dessus soit doré. Poêle : 1 noix de beurre, feu moyen, couvercle, 4 min par face.</t>
  </si>
  <si>
    <t xml:space="preserve">Manger 2 croques chauds. Les 2 autres : les monter mais ne les cuire que le lendemain midi (8 min à la poêle couverte), c'est bien meilleur que réchauffé.</t>
  </si>
  <si>
    <t xml:space="preserve">4. Hachis parmentier rapide (purée en flocons)</t>
  </si>
  <si>
    <t xml:space="preserve">Marmiton — https://www.marmiton.org/recettes/recette_hzchis-parmentier-classique-rapide_87515.aspx</t>
  </si>
  <si>
    <t xml:space="preserve">30 min (10 + 20)</t>
  </si>
  <si>
    <t xml:space="preserve">Poêle + plat à four (ou poêle couverte)</t>
  </si>
  <si>
    <t xml:space="preserve">Lait → eau + crème pour la purée.</t>
  </si>
  <si>
    <t xml:space="preserve">Steak haché / viande hachée de bœuf</t>
  </si>
  <si>
    <t xml:space="preserve">1 steak + un peu (ou 1 gros)</t>
  </si>
  <si>
    <t xml:space="preserve">Haché bovin 15 %</t>
  </si>
  <si>
    <t xml:space="preserve">⅔ d'oignon moyen</t>
  </si>
  <si>
    <t xml:space="preserve">Tomate</t>
  </si>
  <si>
    <t xml:space="preserve">⅓ de tomate</t>
  </si>
  <si>
    <t xml:space="preserve">Pulpe de tomate</t>
  </si>
  <si>
    <t xml:space="preserve">Huile d'olive</t>
  </si>
  <si>
    <t xml:space="preserve">2 cc</t>
  </si>
  <si>
    <t xml:space="preserve">Purée en flocons (sèche)</t>
  </si>
  <si>
    <t xml:space="preserve">½ sachet de 125 g</t>
  </si>
  <si>
    <t xml:space="preserve">Purée en flocons</t>
  </si>
  <si>
    <t xml:space="preserve">Lait</t>
  </si>
  <si>
    <t xml:space="preserve">Eau</t>
  </si>
  <si>
    <t xml:space="preserve">1 verre</t>
  </si>
  <si>
    <t xml:space="preserve">Fromage râpé</t>
  </si>
  <si>
    <t xml:space="preserve">Persillade (ail + persil séchés)</t>
  </si>
  <si>
    <t xml:space="preserve">Persillade Ducros ≈ 20 g</t>
  </si>
  <si>
    <t xml:space="preserve">Éplucher et émincer finement 140 g d'oignon (1 gros). Faire revenir dans 10 ml d'huile à feu moyen 5 min.</t>
  </si>
  <si>
    <t xml:space="preserve">Ajouter 300 g de haché bovin, l'émietter à la spatule, cuire 6-7 min jusqu'à ce qu'il soit bien cuit.</t>
  </si>
  <si>
    <t xml:space="preserve">Ajouter 80 g de pulpe de tomate (ou 1 petite tomate pelée en dés), 4 g de persillade, sel, poivre. Mélanger 2 min. Réserver.</t>
  </si>
  <si>
    <t xml:space="preserve">Purée : porter 400 ml d'eau + 100 ml de crème épaisse (ou 200 ml de lait si tu en as) à ébullition avec 1 pincée de sel. Hors du feu, verser 120 g de flocons de purée (1 sachet de 125 g) en pluie et fouetter 1 min. Ajouter 20 g de beurre.</t>
  </si>
  <si>
    <t xml:space="preserve">Dans un plat allant au four (ou dans la poêle si tu n'as pas de four) : étaler la viande au fond, couvrir de purée, tasser.</t>
  </si>
  <si>
    <t xml:space="preserve">Parsemer de 50 g d'emmental râpé, tasser légèrement.</t>
  </si>
  <si>
    <t xml:space="preserve">Four à 180 °C : 10 min, jusqu'à ce que le fromage gratine. Sans four : couvercle sur la poêle, 5 min à feu doux pour faire fondre.</t>
  </si>
  <si>
    <t xml:space="preserve">Servir la moitié. L'autre moitié en boîte au frigo, réchauffer 3 min au micro-ondes ou 15 min au four.</t>
  </si>
  <si>
    <t xml:space="preserve">5. Pâtes à la « carbonara » à la française</t>
  </si>
  <si>
    <t xml:space="preserve">Marmiton — https://www.marmiton.org/recettes/recette_pates-a-la-carbonara_80453.aspx</t>
  </si>
  <si>
    <t xml:space="preserve">20 min (5 + 15)</t>
  </si>
  <si>
    <t xml:space="preserve">Pâtes sèches (spaghetti, penne…)</t>
  </si>
  <si>
    <t xml:space="preserve">Spaghetti / pâtes courtes</t>
  </si>
  <si>
    <t xml:space="preserve">Crème fraîche (liquide ou épaisse)</t>
  </si>
  <si>
    <t xml:space="preserve">⅔ de brique de 20 cl</t>
  </si>
  <si>
    <t xml:space="preserve">Jaune d'œuf</t>
  </si>
  <si>
    <t xml:space="preserve">1 jaune (¾ dans la source)</t>
  </si>
  <si>
    <t xml:space="preserve">Œufs</t>
  </si>
  <si>
    <t xml:space="preserve">½ oignon</t>
  </si>
  <si>
    <t xml:space="preserve">généreux</t>
  </si>
  <si>
    <t xml:space="preserve">Porter une grande casserole d'eau salée à ébullition. Cuire 250 g de spaghetti (temps du paquet, al dente).</t>
  </si>
  <si>
    <t xml:space="preserve">Émincer 100 g d'oignon (1 oignon). Le faire revenir 4 min dans une poêle sans matière grasse à feu moyen. Quand il est doré, ajouter 120 g de lardons et cuire 4 min jusqu'à coloration.</t>
  </si>
  <si>
    <t xml:space="preserve">Dans un bol, mélanger 250 ml de crème fluide, 2 jaunes d'œufs (garder les blancs pour une omelette), 1 pincée de sel et beaucoup de poivre.</t>
  </si>
  <si>
    <t xml:space="preserve">Retirer la poêle du feu et verser les lardons-oignon dans le bol de crème. Mélanger.</t>
  </si>
  <si>
    <t xml:space="preserve">Égoutter les pâtes (garder 1 louche d'eau de cuisson). Les remettre dans la casserole hors du feu, verser la crème aux lardons, mélanger 1 min. Si trop épais, détendre avec un peu d'eau de cuisson. Ne pas faire bouillir (les jaunes cuiraient).</t>
  </si>
  <si>
    <t xml:space="preserve">Servir la moitié aussitôt. L'autre moitié en boîte au frigo ; réchauffer à la poêle 3 min avec 2 cs d'eau.</t>
  </si>
  <si>
    <t xml:space="preserve">6. Poulet à la crème et aux champignons + spaghetti</t>
  </si>
  <si>
    <t xml:space="preserve">Marmiton (URL modifiée par toi) — https://www.marmiton.org/recettes/recette_poulet-a-la-creme-et-champignons_72353.aspx</t>
  </si>
  <si>
    <t xml:space="preserve">35 min adaptées (10 + 25)</t>
  </si>
  <si>
    <t xml:space="preserve">Tagliatelles → spaghetti (même rôle, 3 x moins cher). Filet ou cuisse : filet.</t>
  </si>
  <si>
    <t xml:space="preserve">Cuisse de poulet (ou 150 g de filet)</t>
  </si>
  <si>
    <t xml:space="preserve">1 cuisse désossée ou 1 filet</t>
  </si>
  <si>
    <t xml:space="preserve">⅓ d'oignon</t>
  </si>
  <si>
    <t xml:space="preserve">Ail</t>
  </si>
  <si>
    <t xml:space="preserve">½ gousse ou ½ cc d'ail semoule</t>
  </si>
  <si>
    <t xml:space="preserve">Ail semoule</t>
  </si>
  <si>
    <t xml:space="preserve">Champignons de Paris en boîte (égouttés, jus gardé)</t>
  </si>
  <si>
    <t xml:space="preserve">¼ de petite boîte</t>
  </si>
  <si>
    <t xml:space="preserve">Champignons de Paris</t>
  </si>
  <si>
    <t xml:space="preserve">Farine</t>
  </si>
  <si>
    <t xml:space="preserve">Fond de volaille déshydraté (ou ½ cube)</t>
  </si>
  <si>
    <t xml:space="preserve">1 cc / ½ cube</t>
  </si>
  <si>
    <t xml:space="preserve">Bouillon cube</t>
  </si>
  <si>
    <t xml:space="preserve">Persil (frais ou séché)</t>
  </si>
  <si>
    <t xml:space="preserve">Spaghetti (remplace les tagliatelles)</t>
  </si>
  <si>
    <t xml:space="preserve">1 nid et demi</t>
  </si>
  <si>
    <t xml:space="preserve">Couper 300 g de filet de poulet en cubes de 3 cm. Émincer 60 g d'oignon, hacher ½ gousse d'ail (ou 1 cc d'ail semoule). Égoutter 120 g de champignons de boîte en GARDANT le jus.</t>
  </si>
  <si>
    <t xml:space="preserve">Chauffer 20 ml d'huile dans une sauteuse. Faire dorer le poulet 8 min sur toutes les faces.</t>
  </si>
  <si>
    <t xml:space="preserve">Ajouter l'oignon, l'ail, 2 g de persillade et ½ cube de bouillon émietté (5 g). Mélanger, cuire jusqu'à ce que l'oignon soit translucide (3 min).</t>
  </si>
  <si>
    <t xml:space="preserve">Ajouter les champignons AVEC leur jus, l'autre ½ cube et 200 ml d'eau. Couvrir, laisser mijoter 10 min.</t>
  </si>
  <si>
    <t xml:space="preserve">Pendant ce temps, cuire 200 g de spaghetti dans l'eau bouillante salée (temps du paquet).</t>
  </si>
  <si>
    <t xml:space="preserve">Dans un bol, mélanger 120 g de crème épaisse et 10 g de farine (2 cc). Verser dans la sauteuse, mélanger.</t>
  </si>
  <si>
    <t xml:space="preserve">Laisser mijoter 10 min à feu doux à découvert jusqu'à ce que la sauce nappe la cuillère. Saler, poivrer.</t>
  </si>
  <si>
    <t xml:space="preserve">Servir la moitié du poulet-sauce sur la moitié des spaghetti. L'autre moitié en boîte (pâtes et sauce ensemble c'est OK), frigo, réchauffer 3 min avec 1 cs d'eau.</t>
  </si>
  <si>
    <t xml:space="preserve">7. Quesadillas chorizo-emmental &amp; avocat (version éco)</t>
  </si>
  <si>
    <t xml:space="preserve">HelloFresh (URL modifiée par toi) — https://www.hellofresh.fr/recipes/market/quesadillas-chorizo-fromages-and-avocat-65f077f6d4f950689014890d</t>
  </si>
  <si>
    <t xml:space="preserve">20 min</t>
  </si>
  <si>
    <t xml:space="preserve">Poêle (four dans la source)</t>
  </si>
  <si>
    <t xml:space="preserve">Version éco : cheddar + gouda → 60 g d'emmental ; ½ avocat (75 g) ; cuisson poêle.</t>
  </si>
  <si>
    <t xml:space="preserve">Dés de chorizo</t>
  </si>
  <si>
    <t xml:space="preserve">½ sachet</t>
  </si>
  <si>
    <t xml:space="preserve">Chorizo doux</t>
  </si>
  <si>
    <t xml:space="preserve">Tortillas de blé</t>
  </si>
  <si>
    <t xml:space="preserve">2 tortillas</t>
  </si>
  <si>
    <t xml:space="preserve">Tortillas</t>
  </si>
  <si>
    <t xml:space="preserve">Emmental râpé (remplace cheddar + gouda)</t>
  </si>
  <si>
    <t xml:space="preserve">1 poignée</t>
  </si>
  <si>
    <t xml:space="preserve">Avocat</t>
  </si>
  <si>
    <t xml:space="preserve">½ avocat</t>
  </si>
  <si>
    <t xml:space="preserve">½ pot / 2 cs</t>
  </si>
  <si>
    <t xml:space="preserve">½ cs</t>
  </si>
  <si>
    <t xml:space="preserve">Vinaigre (balsamique blanc, riz ou cidre)</t>
  </si>
  <si>
    <t xml:space="preserve">½ cc</t>
  </si>
  <si>
    <t xml:space="preserve">Vinaigre de cidre</t>
  </si>
  <si>
    <t xml:space="preserve">Couper 100 g de chorizo en petits dés (ou utiliser 100 g de chorizo en tranches coupées en 4).</t>
  </si>
  <si>
    <t xml:space="preserve">Chauffer une poêle à sec à feu moyen-vif. Griller le chorizo 3-4 min jusqu'à ce qu'il soit légèrement doré et rende son gras. Réserver.</t>
  </si>
  <si>
    <t xml:space="preserve">Poser 4 tortillas. Sur une moitié de chaque tortilla, répartir 120 g d'emmental râpé et le chorizo. Replier en deux et presser.</t>
  </si>
  <si>
    <t xml:space="preserve">Cuisson à la poêle (pas besoin de four) : avec 15 ml d'huile, feu moyen, 3 min par face en appuyant avec une spatule, jusqu'à ce que ce soit doré et que le fromage file. Faire en 2 fois.</t>
  </si>
  <si>
    <t xml:space="preserve">Guacamole express : couper 1 avocat en deux, retirer le noyau, prélever la chair à la cuillère, l'écraser à la fourchette avec 5 ml de vinaigre (1 cc), sel, poivre.</t>
  </si>
  <si>
    <t xml:space="preserve">Couper chaque quesadilla en 3 triangles. Servir 2 quesadillas avec la moitié du guacamole et 50 g de crème épaisse. Les 2 autres quesadillas se réchauffent 2 min à la poêle le lendemain ; le guacamole restant : filmer au contact avec un filet de citron ou de vinaigre.</t>
  </si>
  <si>
    <t xml:space="preserve">8. Pâtes au pesto rosso et au poulet (+ parmesan)</t>
  </si>
  <si>
    <t xml:space="preserve">Marmiton (modifiée par toi : + parmesan) — https://www.marmiton.org/recettes/recette_pates-au-pesto-rosso-et-au-poulet_311315.aspx</t>
  </si>
  <si>
    <t xml:space="preserve">Farfalle (ou autres pâtes courtes)</t>
  </si>
  <si>
    <t xml:space="preserve">¾ de filet (source : 75 à 150 g pour 4)</t>
  </si>
  <si>
    <t xml:space="preserve">Crème fraîche</t>
  </si>
  <si>
    <t xml:space="preserve">Pesto rosso (pot)</t>
  </si>
  <si>
    <t xml:space="preserve">3 cs bombées</t>
  </si>
  <si>
    <t xml:space="preserve">Pesto rosso</t>
  </si>
  <si>
    <t xml:space="preserve">Parmesan râpé</t>
  </si>
  <si>
    <t xml:space="preserve">3 cs (ton ajout)</t>
  </si>
  <si>
    <t xml:space="preserve">Grana padano râpé</t>
  </si>
  <si>
    <t xml:space="preserve">eau des pâtes</t>
  </si>
  <si>
    <t xml:space="preserve">Porter une grande casserole d'eau salée à ébullition. Cuire 250 g de spaghetti ou farfalle (temps du paquet).</t>
  </si>
  <si>
    <t xml:space="preserve">Couper 200 g de filet de poulet en lanières fines. Saler, poivrer.</t>
  </si>
  <si>
    <t xml:space="preserve">5 min avant la fin des pâtes : chauffer 10 ml d'huile dans une poêle, faire dorer le poulet 4-5 min à feu vif.</t>
  </si>
  <si>
    <t xml:space="preserve">Baisser le feu, ajouter 30 ml de crème (2 cs) et 100 ml de pesto rosso (½ pot). Mélanger, réchauffer 1 min.</t>
  </si>
  <si>
    <t xml:space="preserve">Égoutter les pâtes, les verser dans la poêle, mélanger, cuire encore 3 min à feu doux.</t>
  </si>
  <si>
    <t xml:space="preserve">Servir la moitié avec 30 g de grana padano râpé par-dessus (ton ajout). L'autre moitié en boîte ; ajouter le fromage seulement au moment de manger le lendemain.</t>
  </si>
  <si>
    <t xml:space="preserve">9. Riz au chorizo et poivrons (façon paella express)</t>
  </si>
  <si>
    <t xml:space="preserve">Marmiton — https://www.marmiton.org/recettes/recette_riz-au-chorizo_14042.aspx</t>
  </si>
  <si>
    <t xml:space="preserve">Sauteuse</t>
  </si>
  <si>
    <t xml:space="preserve">Olives supprimées (facultatives, 2 € le bocal).</t>
  </si>
  <si>
    <t xml:space="preserve">Chorizo (doux ou fort)</t>
  </si>
  <si>
    <t xml:space="preserve">⅓ d'un petit chorizo / 6 rondelles</t>
  </si>
  <si>
    <t xml:space="preserve">Poivron vert</t>
  </si>
  <si>
    <t xml:space="preserve">⅛ de poivron</t>
  </si>
  <si>
    <t xml:space="preserve">Poivron rouge</t>
  </si>
  <si>
    <t xml:space="preserve">½ verre bombé</t>
  </si>
  <si>
    <t xml:space="preserve">Cube de bouillon de volaille</t>
  </si>
  <si>
    <t xml:space="preserve">¼ de cube</t>
  </si>
  <si>
    <t xml:space="preserve">léger, le cube sale déjà</t>
  </si>
  <si>
    <t xml:space="preserve">Couper 120 g de chorizo en rondelles (ou 120 g de tranches). Les faire frire 2 min dans une sauteuse sans matière grasse. Réserver le chorizo, garder le gras rouge dans la sauteuse.</t>
  </si>
  <si>
    <t xml:space="preserve">Émincer 80 g d'oignon et 100 g de poivron (rouge et/ou vert) en lanières.</t>
  </si>
  <si>
    <t xml:space="preserve">Dans le gras du chorizo + 20 ml d'huile, faire dorer l'oignon 3 min, puis ajouter les poivrons et faire revenir 5 min.</t>
  </si>
  <si>
    <t xml:space="preserve">Émietter ½ cube de bouillon (5 g), verser 400 ml d'eau. Porter à ébullition, verser 180 g de riz long. Mélanger, saler légèrement, poivrer.</t>
  </si>
  <si>
    <t xml:space="preserve">Couvrir, cuire à feu doux ≈ 15 min jusqu'à absorption complète (remuer une fois à mi-cuisson).</t>
  </si>
  <si>
    <t xml:space="preserve">5 min avant la fin, remettre le chorizo (et son huile). Mélanger, laisser finir à couvert.</t>
  </si>
  <si>
    <t xml:space="preserve">Servir la moitié. L'autre moitié en boîte au frigo ; réchauffer 3 min à la poêle avec 2 cs d'eau.</t>
  </si>
  <si>
    <t xml:space="preserve">10. Côtes d'échine à la moutarde et à la crème + spaghetti</t>
  </si>
  <si>
    <t xml:space="preserve">Marmiton — https://www.marmiton.org/recettes/recette_filet-mignon-a-la-moutarde-facile_37368.aspx</t>
  </si>
  <si>
    <t xml:space="preserve">30 min (5 + 25)</t>
  </si>
  <si>
    <t xml:space="preserve">Poêle + casserole</t>
  </si>
  <si>
    <t xml:space="preserve">Filet mignon (18,30 €/kg) → côtes d'échine sans os (11,63 €/kg), même sauce moutarde-crème ; tagliatelles → spaghetti.</t>
  </si>
  <si>
    <t xml:space="preserve">Côtes d'échine de porc sans os</t>
  </si>
  <si>
    <t xml:space="preserve">1 côte de 150 g</t>
  </si>
  <si>
    <t xml:space="preserve">Moutarde de Dijon</t>
  </si>
  <si>
    <t xml:space="preserve">2 cs bombées (source : 1 cs)</t>
  </si>
  <si>
    <t xml:space="preserve">Beurre (ou margarine)</t>
  </si>
  <si>
    <t xml:space="preserve">1 noix</t>
  </si>
  <si>
    <t xml:space="preserve">Beurre</t>
  </si>
  <si>
    <t xml:space="preserve">source : « avec des tagliatelles fraîches »</t>
  </si>
  <si>
    <t xml:space="preserve">aucun : la moutarde sale déjà (source)</t>
  </si>
  <si>
    <t xml:space="preserve">Sortir 2 côtes d'échine sans os (300 g). Les saler légèrement (la moutarde sale déjà) et poivrer.</t>
  </si>
  <si>
    <t xml:space="preserve">Faire fondre 20 g de beurre dans une poêle à feu moyen-vif. Saisir les côtes 3 min par face jusqu'à belle coloration.</t>
  </si>
  <si>
    <t xml:space="preserve">Tartiner chaque côte de 15 g de moutarde de Dijon (1 cs chacune). Baisser à feu doux, déglacer le fond avec 15 g de crème épaisse (1 cs).</t>
  </si>
  <si>
    <t xml:space="preserve">Couvrir et laisser cuire 12-15 min à feu doux (l'échine doit être cuite à cœur mais rester juteuse).</t>
  </si>
  <si>
    <t xml:space="preserve">Pendant ce temps, cuire 200 g de spaghetti dans l'eau bouillante salée.</t>
  </si>
  <si>
    <t xml:space="preserve">Retirer les côtes sur une assiette. Dans la poêle, ajouter 65 g de crème épaisse (le reste des 80 g), gratter les sucs, mélanger avec la moutarde 1 min pour obtenir une sauce lisse. Rallonger avec 1-2 cs d'eau des pâtes si trop épais. Poivrer.</t>
  </si>
  <si>
    <t xml:space="preserve">Servir 1 côte avec la moitié des spaghetti nappés de sauce. L'autre côte + pâtes + sauce en boîte au frigo ; réchauffer à couvert 3 min à la poêle avec 1 cs d'eau.</t>
  </si>
  <si>
    <t xml:space="preserve">11. Raviolis frais à la sauce tomate-crème (poivron, épices)</t>
  </si>
  <si>
    <t xml:space="preserve">Blog Le Sucré Salé d'Oum Souhaib — https://lesucresale-doumsouhaib.com/raviolis-a-la-sauce-tomate-et-creme-fraiche/</t>
  </si>
  <si>
    <t xml:space="preserve">Coulis/pulpe → pulpe concassée Auchan.</t>
  </si>
  <si>
    <t xml:space="preserve">Raviolis frais (3 fromages ou ricotta-épinards)</t>
  </si>
  <si>
    <t xml:space="preserve">1 barquette de 250 g</t>
  </si>
  <si>
    <t xml:space="preserve">Ravioli frais aux fromages</t>
  </si>
  <si>
    <t xml:space="preserve">Oignon (ou échalote)</t>
  </si>
  <si>
    <t xml:space="preserve">Poivron vert (ou rouge)</t>
  </si>
  <si>
    <t xml:space="preserve">¼ de poivron</t>
  </si>
  <si>
    <t xml:space="preserve">Pulpe de tomate (boîte)</t>
  </si>
  <si>
    <t xml:space="preserve">¼ de boîte de 400 g</t>
  </si>
  <si>
    <t xml:space="preserve">Paprika doux</t>
  </si>
  <si>
    <t xml:space="preserve">¼ cc</t>
  </si>
  <si>
    <t xml:space="preserve">Paprika doux Ducros 40 g</t>
  </si>
  <si>
    <t xml:space="preserve">Coriandre en poudre</t>
  </si>
  <si>
    <t xml:space="preserve">Coriandre moulue Ducros ≈ 30 g</t>
  </si>
  <si>
    <t xml:space="preserve">Basilic (frais ou séché)</t>
  </si>
  <si>
    <t xml:space="preserve">Basilic séché Ducros ≈ 12 g</t>
  </si>
  <si>
    <t xml:space="preserve">Thym</t>
  </si>
  <si>
    <t xml:space="preserve">Thym Ducros ≈ 15 g</t>
  </si>
  <si>
    <t xml:space="preserve">Laurier</t>
  </si>
  <si>
    <t xml:space="preserve">½ feuille</t>
  </si>
  <si>
    <t xml:space="preserve">Laurier Ducros ≈ 5 g</t>
  </si>
  <si>
    <t xml:space="preserve">Crème liquide entière</t>
  </si>
  <si>
    <t xml:space="preserve">¼ brique de 20 cl</t>
  </si>
  <si>
    <t xml:space="preserve">¼ de petite tasse</t>
  </si>
  <si>
    <t xml:space="preserve">Parmesan râpé (finition)</t>
  </si>
  <si>
    <t xml:space="preserve">1 cs bombée</t>
  </si>
  <si>
    <t xml:space="preserve">Porter une casserole d'eau salée à ébullition. Cuire 500 g de raviolis frais (2 barquettes de 250 g, ou 1 de 300 g + un peu) 2-3 min selon le paquet. Égoutter, réserver.</t>
  </si>
  <si>
    <t xml:space="preserve">Éplucher 60 g d'oignon et le couper en petits dés. Laver 80 g de poivron (½) et le couper en fines lamelles.</t>
  </si>
  <si>
    <t xml:space="preserve">Chauffer 20 ml d'huile dans une poêle. Faire revenir l'oignon 3 min ; dès qu'il colore, ajouter le poivron et laisser dorer 4 min en remuant.</t>
  </si>
  <si>
    <t xml:space="preserve">Verser 200 g de pulpe de tomate (½ boîte de 400 g) et 1 cc d'ail semoule (6 g). Ajouter 2 g de paprika, 2 g de coriandre en poudre, 2 g de basilic séché, 2 g de persillade, 1 pincée de thym, 1 feuille de laurier. Saler, poivrer. Laisser revenir 1 min.</t>
  </si>
  <si>
    <t xml:space="preserve">Verser 60 ml d'eau, laisser mijoter 5 bonnes minutes à feu doux.</t>
  </si>
  <si>
    <t xml:space="preserve">Ajouter 100 ml de crème fluide, laisser épaissir 1 min. Retirer le laurier.</t>
  </si>
  <si>
    <t xml:space="preserve">Déposer les raviolis dans la sauce, bien les enrober 1 min à feu doux.</t>
  </si>
  <si>
    <t xml:space="preserve">Servir la moitié avec 15 g de grana padano râpé. L'autre moitié en boîte ; réchauffer 2 min au micro-ondes ou 3 min à la poêle.</t>
  </si>
  <si>
    <t xml:space="preserve">12. Ravioli poêlés à la tomate et mozzarella</t>
  </si>
  <si>
    <t xml:space="preserve">Les Commis — https://lescommis.com/recettes/ravioles-a-la-tomate-mozzarella/</t>
  </si>
  <si>
    <t xml:space="preserve">15 min</t>
  </si>
  <si>
    <t xml:space="preserve">Poêle avec couvercle</t>
  </si>
  <si>
    <t xml:space="preserve">Ravioles du Dauphiné (13,54 €/kg) → ravioli Auchan aux fromages (5,63 €/kg), même geste poêlé ; coulis → pulpe.</t>
  </si>
  <si>
    <t xml:space="preserve">Ravioli frais aux fromages (remplace les ravioles)</t>
  </si>
  <si>
    <t xml:space="preserve">≈ 1 barquette de 300 g</t>
  </si>
  <si>
    <t xml:space="preserve">Tomates cerises</t>
  </si>
  <si>
    <t xml:space="preserve">5-6 tomates cerises</t>
  </si>
  <si>
    <t xml:space="preserve">Coulis de tomate</t>
  </si>
  <si>
    <t xml:space="preserve">⅓ de brique de 25 cl</t>
  </si>
  <si>
    <t xml:space="preserve">Mozzarella râpée (ou emmental)</t>
  </si>
  <si>
    <t xml:space="preserve">Basilic frais</t>
  </si>
  <si>
    <t xml:space="preserve">1 tige (4-5 feuilles)</t>
  </si>
  <si>
    <t xml:space="preserve">Effeuiller 4-5 feuilles de basilic (ou prévoir 2 g de basilic séché pour la fin). Couper 120 g de tomates cerises en deux.</t>
  </si>
  <si>
    <t xml:space="preserve">Chauffer 15 ml d'huile dans une grande poêle à feu moyen. Y verser 500 g de raviolis frais aux fromages CRUS (sans les cuire à l'eau : ils se séparent à la cuisson) avec les tomates cerises. Cuire 6-7 min en remuant régulièrement jusqu'à ce que les raviolis dorent ; baisser le feu si ça colore trop.</t>
  </si>
  <si>
    <t xml:space="preserve">Verser 160 g de pulpe de tomate et 60 ml d'eau. Saler, poivrer. Couvrir et cuire 5 min à feu doux : les raviolis finissent de cuire dans la sauce.</t>
  </si>
  <si>
    <t xml:space="preserve">Ôter le couvercle, parsemer 80 g de mozzarella (déchirée ou râpée). Couvrir de nouveau 2-3 min à feu doux pour la faire fondre.</t>
  </si>
  <si>
    <t xml:space="preserve">Servir la moitié parsemée de basilic. L'autre moitié en boîte au frigo ; réchauffer 3 min à la poêle couverte avec 1 cs d'eau.</t>
  </si>
  <si>
    <t xml:space="preserve">13. Tortellini aux champignons, sauce crème-parmesan</t>
  </si>
  <si>
    <t xml:space="preserve">Blog Abaçai — https://abacai.fr/tortellinis-aux-champignons-recette-de-tortellinis-a-la-creme/</t>
  </si>
  <si>
    <t xml:space="preserve">20 min (8 + 12)</t>
  </si>
  <si>
    <t xml:space="preserve">Casserole + grande poêle</t>
  </si>
  <si>
    <t xml:space="preserve">Lait supprimé (eau de cuisson) ; parmesan = grana padano.</t>
  </si>
  <si>
    <t xml:space="preserve">Tortellini frais (fromage ou viande)</t>
  </si>
  <si>
    <t xml:space="preserve">⅔ de paquet de 300 g</t>
  </si>
  <si>
    <t xml:space="preserve">Tortellini frais</t>
  </si>
  <si>
    <t xml:space="preserve">Champignons de Paris frais (ou boîte égouttée)</t>
  </si>
  <si>
    <t xml:space="preserve">4-5 champignons</t>
  </si>
  <si>
    <t xml:space="preserve">Oignon jaune</t>
  </si>
  <si>
    <t xml:space="preserve">½ gousse ou ½ cc semoule</t>
  </si>
  <si>
    <t xml:space="preserve">1 petite noix</t>
  </si>
  <si>
    <t xml:space="preserve">½ cc (astuce de l'auteur)</t>
  </si>
  <si>
    <t xml:space="preserve">Farine (option, pour lier)</t>
  </si>
  <si>
    <t xml:space="preserve">Égoutter 150 g de champignons de boîte (ou nettoyer 150 g de frais avec un linge et les émincer). Émincer 60 g d'oignon, hacher ½ gousse d'ail (ou 1 cc de semoule).</t>
  </si>
  <si>
    <t xml:space="preserve">Dans une grande poêle, faire fondre 10 g de beurre avec 10 ml d'huile à feu moyen-vif. Faire suer l'oignon 3 min ; quand il est translucide, ajouter l'ail 30 s.</t>
  </si>
  <si>
    <t xml:space="preserve">Ajouter les champignons. Ne pas trop remuer : les laisser rendre leur eau puis dorer, 5-6 min. Saler légèrement.</t>
  </si>
  <si>
    <t xml:space="preserve">Baisser le feu. Option : saupoudrer 4 g de farine (1 cc) et remuer 1 min pour lier.</t>
  </si>
  <si>
    <t xml:space="preserve">Mélanger 120 g de crème épaisse avec 6 g de moutarde (1 cc). Verser dans la poêle, ajouter 2-3 cs d'eau si trop épais. Laisser mijoter doucement 2-3 min.</t>
  </si>
  <si>
    <t xml:space="preserve">Pendant ce temps, cuire 400 g de tortellini dans l'eau bouillante salée 2-3 min (temps du paquet). Garder 4 cs d'eau de cuisson avant d'égoutter.</t>
  </si>
  <si>
    <t xml:space="preserve">Verser les tortellini égouttés dans la poêle avec l'eau de cuisson, ajouter 30 g de grana padano râpé, mélanger 1 min pour lier. Poivrer.</t>
  </si>
  <si>
    <t xml:space="preserve">Servir la moitié. L'autre moitié en boîte ; réchauffer 3 min à la poêle avec 2 cs d'eau.</t>
  </si>
  <si>
    <t xml:space="preserve">14. Risotto aux lardons et champignons</t>
  </si>
  <si>
    <t xml:space="preserve">Cuisine Étudiant — https://www.cuisine-etudiant.fr/recette/2962-risotto-aux-lardons-et-champignons</t>
  </si>
  <si>
    <t xml:space="preserve">36 min (annoncé) — ≈ 30 min réel</t>
  </si>
  <si>
    <t xml:space="preserve">Casserole + poêle profonde</t>
  </si>
  <si>
    <t xml:space="preserve">Riz spécial risotto (arborio / riz rond)</t>
  </si>
  <si>
    <t xml:space="preserve">⅔ de verre</t>
  </si>
  <si>
    <t xml:space="preserve">Riz pour risotto</t>
  </si>
  <si>
    <t xml:space="preserve">¾ de sachet de 100 g</t>
  </si>
  <si>
    <t xml:space="preserve">Champignons de Paris frais</t>
  </si>
  <si>
    <t xml:space="preserve">6-7 champignons (ou 1 petite boîte égouttée)</t>
  </si>
  <si>
    <t xml:space="preserve">⅓ brique de 25 cl</t>
  </si>
  <si>
    <t xml:space="preserve">½ cube</t>
  </si>
  <si>
    <t xml:space="preserve">≈ 2 verres</t>
  </si>
  <si>
    <t xml:space="preserve">Parmesan râpé (facultatif)</t>
  </si>
  <si>
    <t xml:space="preserve">aucun : cube + lardons salent déjà (source)</t>
  </si>
  <si>
    <t xml:space="preserve">Chauffer 750 ml d'eau dans une casserole avec 1 cube de bouillon (10 g). Garder à frémissement.</t>
  </si>
  <si>
    <t xml:space="preserve">Ciseler 100 g d'oignon. Égoutter 250 g de champignons de boîte (ou émincer 250 g de frais).</t>
  </si>
  <si>
    <t xml:space="preserve">Dans une poêle profonde ou une sauteuse, chauffer 10 ml d'huile, faire colorer les champignons 5 min, puis ajouter 150 g de lardons et cuire 4 min. Retirer l'excès de gras, réserver le tout.</t>
  </si>
  <si>
    <t xml:space="preserve">Dans la même sauteuse, chauffer 10 ml d'huile, faire suer l'oignon 3 min, puis ajouter 220 g de riz pour risotto et remuer 1-2 min jusqu'à ce que les grains soient nacrés.</t>
  </si>
  <si>
    <t xml:space="preserve">Ajouter une louche de bouillon chaud, mélanger à feu doux jusqu'à absorption. Recommencer louche par louche pendant 18-20 min, en remuant souvent, jusqu'à ce que le riz soit tendre et crémeux (goûter).</t>
  </si>
  <si>
    <t xml:space="preserve">Remettre les lardons et les champignons, mélanger.</t>
  </si>
  <si>
    <t xml:space="preserve">Hors du feu, ajouter 160 ml de crème fluide et 30 g de grana padano râpé. Poivrer ; ne pas saler (cube + lardons + fromage).</t>
  </si>
  <si>
    <t xml:space="preserve">Servir la moitié aussitôt. L'autre moitié en boîte ; réchauffer 3 min à la poêle avec 3-4 cs d'eau pour redonner du crémeux.</t>
  </si>
  <si>
    <t xml:space="preserve">15. Saucisses-lentilles express (lentilles en conserve)</t>
  </si>
  <si>
    <t xml:space="preserve">Cuisine Étudiant — https://www.cuisine-etudiant.fr/recette/208-saucisses-lentilles</t>
  </si>
  <si>
    <t xml:space="preserve">Casserole</t>
  </si>
  <si>
    <t xml:space="preserve">Saucisses (Knacki ; ou 2 chipolatas)</t>
  </si>
  <si>
    <t xml:space="preserve">4 Knacki (35 g pièce)</t>
  </si>
  <si>
    <t xml:space="preserve">Saucisses de Strasbourg</t>
  </si>
  <si>
    <t xml:space="preserve">Lentilles en conserve (poids égoutté)</t>
  </si>
  <si>
    <t xml:space="preserve">½ boîte de 400 g égoutté (½ boîte 800 g brut)</t>
  </si>
  <si>
    <t xml:space="preserve">Lentilles en conserve</t>
  </si>
  <si>
    <t xml:space="preserve">Carotte</t>
  </si>
  <si>
    <t xml:space="preserve">½ carotte (ou rondelles surgelées)</t>
  </si>
  <si>
    <t xml:space="preserve">Carottes</t>
  </si>
  <si>
    <t xml:space="preserve">Lardons fumés (ou allumettes de bacon)</t>
  </si>
  <si>
    <t xml:space="preserve">⅓ de sachet de 100 g</t>
  </si>
  <si>
    <t xml:space="preserve">Beurre ou huile</t>
  </si>
  <si>
    <t xml:space="preserve">peu : lardons et lentilles sont salés</t>
  </si>
  <si>
    <t xml:space="preserve">Cuire 8 Knacki : plonger 3 min dans une casserole d'eau frémissante (ne pas faire bouillir, elles éclatent). Égoutter, réserver.</t>
  </si>
  <si>
    <t xml:space="preserve">Émincer 80 g d'oignon. Éplucher et couper 100 g de carotte en fines rondelles.</t>
  </si>
  <si>
    <t xml:space="preserve">Dans la casserole rincée, chauffer 10 g de beurre ou 10 ml d'huile. Faire suer l'oignon 3 min.</t>
  </si>
  <si>
    <t xml:space="preserve">Ajouter les carottes et 80 g de lardons. Faire revenir 5-10 min selon la tendreté voulue des carottes.</t>
  </si>
  <si>
    <t xml:space="preserve">Verser 400 g de lentilles en conserve (égouttées, en gardant 4 cs de jus). Laisser mijoter 5 min doucement en remuant.</t>
  </si>
  <si>
    <t xml:space="preserve">Ajouter les Knacki (entières ou en tronçons), réchauffer 2 min. Poivrer, saler seulement si besoin.</t>
  </si>
  <si>
    <t xml:space="preserve">Servir la moitié. L'autre moitié en boîte au frigo ; réchauffer 3 min à la casserole ou au micro-ondes.</t>
  </si>
  <si>
    <t xml:space="preserve">16. « Couscous » étudiant poulet, carottes, pois chiches</t>
  </si>
  <si>
    <t xml:space="preserve">Chefclub (recette communauté) — https://www.chefclub.tv/fr/recettes/daily/7ab9bac7-248e-4154-b4d6-40ace84ff9ca/couscous-%C3%A9tudiant-poulet-carottes-pois-chiches-couscous/</t>
  </si>
  <si>
    <t xml:space="preserve">30 min (annoncé) — mijotage 20-25 min</t>
  </si>
  <si>
    <t xml:space="preserve">Poêle avec couvercle + bol</t>
  </si>
  <si>
    <t xml:space="preserve">Semoule montée à 100 g pour passer 700 kcal ; ras el hanout du placard.</t>
  </si>
  <si>
    <t xml:space="preserve">Blanc de poulet</t>
  </si>
  <si>
    <t xml:space="preserve">1 petit filet</t>
  </si>
  <si>
    <t xml:space="preserve">1 carotte</t>
  </si>
  <si>
    <t xml:space="preserve">Pois chiches cuits (boîte, égouttés)</t>
  </si>
  <si>
    <t xml:space="preserve">⅓ de boîte de 400 g</t>
  </si>
  <si>
    <t xml:space="preserve">Pois chiches</t>
  </si>
  <si>
    <t xml:space="preserve">¼ d'oignon</t>
  </si>
  <si>
    <t xml:space="preserve">Ras el hanout (ou curry + cumin)</t>
  </si>
  <si>
    <t xml:space="preserve">½ cs rase</t>
  </si>
  <si>
    <t xml:space="preserve">Ras el hanout La Conquête des Saveurs 240 g</t>
  </si>
  <si>
    <t xml:space="preserve">Cube de bouillon de légumes</t>
  </si>
  <si>
    <t xml:space="preserve">Eau (pour le mijotage)</t>
  </si>
  <si>
    <t xml:space="preserve">½ pot / ½ verre</t>
  </si>
  <si>
    <t xml:space="preserve">Semoule de couscous (sèche)</t>
  </si>
  <si>
    <t xml:space="preserve">1 pot / ½ verre bombé</t>
  </si>
  <si>
    <t xml:space="preserve">Semoule de couscous</t>
  </si>
  <si>
    <t xml:space="preserve">Eau bouillante (pour la semoule)</t>
  </si>
  <si>
    <t xml:space="preserve">même volume que la semoule</t>
  </si>
  <si>
    <t xml:space="preserve">Couper 240 g de filet de poulet en gros dés. Émincer 60 g d'oignon. Éplucher 200 g de carotte, couper en rondelles puis en quarts.</t>
  </si>
  <si>
    <t xml:space="preserve">Chauffer 30 ml d'huile dans une poêle avec couvercle. Faire revenir l'oignon 3 min, ajouter le poulet et 14 g de ras el hanout (1 cs rase). Faire dorer le poulet sur chaque face, 4-5 min.</t>
  </si>
  <si>
    <t xml:space="preserve">Ajouter les carottes, mélanger. Émietter 1 cube de bouillon (10 g), verser 200 ml d'eau.</t>
  </si>
  <si>
    <t xml:space="preserve">Couvrir, laisser mijoter à feu doux jusqu'à ce que les carottes soient tendres : 20-25 min. Rajouter un peu d'eau si ça accroche. Saler, poivrer.</t>
  </si>
  <si>
    <t xml:space="preserve">Ajouter 200 g de pois chiches égouttés (¾ de boîte), poursuivre 3-5 min à découvert.</t>
  </si>
  <si>
    <t xml:space="preserve">Semoule : dans un saladier, verser 200 g de semoule, 1 pincée de sel, 10 ml d'huile. Verser 240 ml d'eau bouillante, couvrir d'une assiette 5 min, puis égrainer à la fourchette.</t>
  </si>
  <si>
    <t xml:space="preserve">Servir la moitié de la garniture et de sa sauce sur la moitié de la semoule. L'autre moitié en boîte (semoule et garniture ensemble) ; réchauffer 3 min au micro-ondes avec 2 cs d'eau.</t>
  </si>
  <si>
    <t xml:space="preserve">17. Poulet basquaise et son riz</t>
  </si>
  <si>
    <t xml:space="preserve">Cuisine Étudiant — https://www.cuisine-etudiant.fr/recette/2133-poulet-basquaise-et-son-riz</t>
  </si>
  <si>
    <t xml:space="preserve">30 min</t>
  </si>
  <si>
    <t xml:space="preserve">Poêle avec couvercle + casserole</t>
  </si>
  <si>
    <t xml:space="preserve">Tomates fraîches → pulpe concassée 200 g.</t>
  </si>
  <si>
    <t xml:space="preserve">Poulet (filet, aiguillettes ou cuisse désossée)</t>
  </si>
  <si>
    <t xml:space="preserve">Pulpe de tomate concassée (remplace les tomates)</t>
  </si>
  <si>
    <t xml:space="preserve">½ boîte de 400 g</t>
  </si>
  <si>
    <t xml:space="preserve">⅛ de poivron (ou que du rouge : 60 g)</t>
  </si>
  <si>
    <t xml:space="preserve">Piment d'Espelette (ou paprika + pincée de piment)</t>
  </si>
  <si>
    <t xml:space="preserve">1 noix (dans le riz)</t>
  </si>
  <si>
    <t xml:space="preserve">Émincer 60 g d'oignon et 120 g de poivron (rouge et/ou vert) en petits morceaux. Hacher ½ gousse d'ail (ou 1 cc de semoule).</t>
  </si>
  <si>
    <t xml:space="preserve">Chauffer 10 ml d'huile dans une poêle avec couvercle. Faire revenir oignon et poivron 3 min, ajouter 400 g de pulpe de tomate (1 boîte) et l'ail. Saler, poivrer, ajouter 2 g de piment d'Espelette ou de paprika.</t>
  </si>
  <si>
    <t xml:space="preserve">Couvrir, cuire à feu doux 15 min jusqu'à obtenir une compotée épaisse.</t>
  </si>
  <si>
    <t xml:space="preserve">Pendant ce temps, riz : 180 g de riz long dans 270 ml d'eau salée, couvert, 11 min à feu doux, puis 5 min de repos. Ajouter 20 g de beurre.</t>
  </si>
  <si>
    <t xml:space="preserve">Couper 300 g de filet de poulet en morceaux. Dans une seconde poêle très chaude avec 10 ml d'huile, les faire dorer 6-8 min jusqu'à belle coloration.</t>
  </si>
  <si>
    <t xml:space="preserve">Ajouter le poulet à la compotée, mélanger 2 min pour l'enrober et finir la cuisson. Rectifier sel/poivre/piment.</t>
  </si>
  <si>
    <t xml:space="preserve">Servir la moitié de la basquaise sur la moitié du riz. L'autre moitié en boîte (riz et sauce séparés de préférence) ; réchauffer 3 min au micro-ondes.</t>
  </si>
  <si>
    <t xml:space="preserve">18. Chakchouka au chèvre frais &amp; pains pita</t>
  </si>
  <si>
    <t xml:space="preserve">Les Commis — https://lescommis.com/recettes/chakchuka-au-chevre-frais-et-pains-pitas/</t>
  </si>
  <si>
    <t xml:space="preserve">20 min en cuisine (30 min à table)</t>
  </si>
  <si>
    <t xml:space="preserve">Grande poêle avec couvercle + grille-pain</t>
  </si>
  <si>
    <t xml:space="preserve">Pita → pain kebab La Boulangère (2 x 80 g) ; chèvre frais 40 g.</t>
  </si>
  <si>
    <t xml:space="preserve">2 œufs (55 g pièce)</t>
  </si>
  <si>
    <t xml:space="preserve">Fromage de chèvre frais (ou feta)</t>
  </si>
  <si>
    <t xml:space="preserve">¼ d'une bûchette de 150 g</t>
  </si>
  <si>
    <t xml:space="preserve">Chèvre frais</t>
  </si>
  <si>
    <t xml:space="preserve">Pains pita</t>
  </si>
  <si>
    <t xml:space="preserve">2 pitas (source : 1)</t>
  </si>
  <si>
    <t xml:space="preserve">Pain kebab (pita)</t>
  </si>
  <si>
    <t xml:space="preserve">½ poivron</t>
  </si>
  <si>
    <t xml:space="preserve">Tomates pelées en boîte (avec jus)</t>
  </si>
  <si>
    <t xml:space="preserve">Origan séché</t>
  </si>
  <si>
    <t xml:space="preserve">Origan Ducros 12 g</t>
  </si>
  <si>
    <t xml:space="preserve">Sucre</t>
  </si>
  <si>
    <t xml:space="preserve">Émincer 100 g d'oignon. Couper 150 g de poivron rouge (1 poivron) en petits dés.</t>
  </si>
  <si>
    <t xml:space="preserve">Chauffer 15 ml d'huile dans une grande poêle avec couvercle à feu moyen. Faire suer l'oignon et le poivron 8 min en remuant. Saler, poivrer.</t>
  </si>
  <si>
    <t xml:space="preserve">Ajouter 200 g de pulpe de tomate (½ boîte), 1 g d'origan, 1 g de coriandre en poudre et 1 pincée de sucre. Mélanger, laisser mijoter à demi-couvert 10 min jusqu'à une sauce onctueuse.</t>
  </si>
  <si>
    <t xml:space="preserve">Former 4 petits puits dans la sauce à la cuillère. Casser 1 œuf dans chaque creux (4 œufs). Couvrir, cuire 5 min à feu doux : blanc opaque, jaune coulant.</t>
  </si>
  <si>
    <t xml:space="preserve">Pendant ce temps, réchauffer 2 pains kebab (ou pitas) au grille-pain, ou 1 min par face à la poêle sèche. Couper 80 g de chèvre frais en morceaux.</t>
  </si>
  <si>
    <t xml:space="preserve">Émietter le chèvre frais sur la chakchouka chaude. Servir la moitié (2 œufs) avec 2 pains pour saucer.</t>
  </si>
  <si>
    <t xml:space="preserve">Pour le lendemain : la moitié restante en boîte (les œufs se réchauffent 1 min au micro-ondes, le jaune ne sera plus coulant) — ou, mieux, ne cuire que 2 œufs le soir et pocher les 2 autres le lendemain midi dans la sauce réchauffée 3 min à la poêle. 2 pains supplémentaires.</t>
  </si>
  <si>
    <t xml:space="preserve">19. Pâtes crémeuses au chèvre, miel et lardons</t>
  </si>
  <si>
    <t xml:space="preserve">Blog Yumelise — https://www.yumelise.fr/pates-chevre-miel/</t>
  </si>
  <si>
    <t xml:space="preserve">Casserole + poêle avec couvercle</t>
  </si>
  <si>
    <t xml:space="preserve">Pâtes sèches (torti, penne…)</t>
  </si>
  <si>
    <t xml:space="preserve">½ sachet de 100 g</t>
  </si>
  <si>
    <t xml:space="preserve">Crème liquide (source : légère 4 %)</t>
  </si>
  <si>
    <t xml:space="preserve">⅓ de brique de 20 cl (50 + 25)</t>
  </si>
  <si>
    <t xml:space="preserve">Fromage de chèvre (bûche)</t>
  </si>
  <si>
    <t xml:space="preserve">3 rondelles</t>
  </si>
  <si>
    <t xml:space="preserve">Bûche de chèvre</t>
  </si>
  <si>
    <t xml:space="preserve">Échalote (ou oignon)</t>
  </si>
  <si>
    <t xml:space="preserve">½ petite échalote</t>
  </si>
  <si>
    <t xml:space="preserve">Miel liquide</t>
  </si>
  <si>
    <t xml:space="preserve">Porter une grande casserole d'eau à ébullition, saler. Cuire 240 g de pâtes courtes ou spaghetti (temps du paquet).</t>
  </si>
  <si>
    <t xml:space="preserve">Émincer 30 g d'oignon (ou échalote). Couper 100 g de bûche de chèvre en 6 rondelles.</t>
  </si>
  <si>
    <t xml:space="preserve">Chauffer une poêle bien chaude, mettre 100 g de lardons et l'oignon. Griller à feu moyen 4-5 min jusqu'à ce que les lardons soient dorés et l'oignon fondant.</t>
  </si>
  <si>
    <t xml:space="preserve">Ajouter 100 ml de crème fluide, mélanger, déposer les rondelles de chèvre. Baisser à feu doux, couvrir, laisser fondre 3-4 min.</t>
  </si>
  <si>
    <t xml:space="preserve">Quand le chèvre est fondu, saler, poivrer, ajouter 1 g d'origan, mélanger. Verser les pâtes et les 50 ml de crème restants dans la poêle, mélanger 1 min.</t>
  </si>
  <si>
    <t xml:space="preserve">Servir la moitié dans une assiette creuse, arroser d'un filet de miel (5 g par assiette). L'autre moitié en boîte sans le miel ; réchauffer 3 min à la poêle avec 2 cs d'eau, puis le miel.</t>
  </si>
  <si>
    <t xml:space="preserve">20. One pot pasta chorizo-basilic</t>
  </si>
  <si>
    <t xml:space="preserve">Cuisine Étudiant (d'après FastGoodCuisine) — https://www.cuisine-etudiant.fr/recette/3929-one-pot-pasta-chorizo-basilic</t>
  </si>
  <si>
    <t xml:space="preserve">30 min (annoncé) — ≈ 25 min</t>
  </si>
  <si>
    <t xml:space="preserve">1 casserole large</t>
  </si>
  <si>
    <t xml:space="preserve">Pâtes sèches (spaghetti ou linguine)</t>
  </si>
  <si>
    <t xml:space="preserve">1 verre et demi</t>
  </si>
  <si>
    <t xml:space="preserve">5 tomates cerises</t>
  </si>
  <si>
    <t xml:space="preserve">½ gousse</t>
  </si>
  <si>
    <t xml:space="preserve">Chorizo</t>
  </si>
  <si>
    <t xml:space="preserve">⅓ d'un chorizo de 225 g</t>
  </si>
  <si>
    <t xml:space="preserve">4-5 feuilles</t>
  </si>
  <si>
    <t xml:space="preserve">Parmesan râpé (optionnel)</t>
  </si>
  <si>
    <t xml:space="preserve">Faire chauffer 600 ml d'eau dans une casserole large ou une sauteuse.</t>
  </si>
  <si>
    <t xml:space="preserve">Pendant ce temps : tailler 100 g d'oignon et 1 gousse d'ail (ou 6 g de semoule) en lamelles, couper 150 g de tomates cerises en 4, 150 g de chorizo en lamelles, ciseler 8-10 feuilles de basilic (ou 2 g de séché).</t>
  </si>
  <si>
    <t xml:space="preserve">Quand l'eau bout : ajouter 15 ml d'huile d'olive, 2 pincées de sel, du poivre, tous les ingrédients préparés (sauf le parmesan), puis 250 g de spaghetti.</t>
  </si>
  <si>
    <t xml:space="preserve">Laisser cuire ≈ 20 min à feu moyen en remuant régulièrement (surtout les 3 premières minutes pour séparer les pâtes). C'est prêt quand toute l'eau est absorbée et que la sauce nappe. Rajouter 5 cl d'eau chaude si ça accroche avant que les pâtes soient cuites.</t>
  </si>
  <si>
    <t xml:space="preserve">Saupoudrer 20 g de grana padano râpé. Servir la moitié ; l'autre moitié en boîte, réchauffer 3 min à la poêle avec 3 cs d'eau.</t>
  </si>
  <si>
    <t xml:space="preserve">21. Risotto de coquillettes au jambon, petits pois et parmesan</t>
  </si>
  <si>
    <t xml:space="preserve">Blog chefNini — https://www.chefnini.com/risotto-de-coquillettes-au-jambon-petits-pois-et-parmesan/</t>
  </si>
  <si>
    <t xml:space="preserve">Mascarpone → crème épaisse.</t>
  </si>
  <si>
    <t xml:space="preserve">Coquillettes sèches</t>
  </si>
  <si>
    <t xml:space="preserve">Coquillettes</t>
  </si>
  <si>
    <t xml:space="preserve">Petits pois surgelés</t>
  </si>
  <si>
    <t xml:space="preserve">Petits pois</t>
  </si>
  <si>
    <t xml:space="preserve">2 tranches (source : 1)</t>
  </si>
  <si>
    <t xml:space="preserve">≈ 2 verres, ajoutée à hauteur</t>
  </si>
  <si>
    <t xml:space="preserve">Mascarpone (ou crème épaisse)</t>
  </si>
  <si>
    <t xml:space="preserve">aucun : cube + parmesan + jambon</t>
  </si>
  <si>
    <t xml:space="preserve">Éplucher et émincer 100 g d'oignon. Hacher 1 gousse d'ail (ou 6 g de semoule).</t>
  </si>
  <si>
    <t xml:space="preserve">Chauffer 10 ml d'huile dans une sauteuse, faire suer l'oignon et l'ail 5 min à feu moyen.</t>
  </si>
  <si>
    <t xml:space="preserve">Ajouter 250 g de coquillettes crues, mélanger 1 min pour les enrober. Émietter 1 cube de bouillon (10 g) par-dessus.</t>
  </si>
  <si>
    <t xml:space="preserve">Verser de l'eau chaude juste à hauteur des pâtes (≈ 400 ml), ajouter 140 g de jambon (4 tranches) haché grossièrement. Cuire à feu moyen en mélangeant souvent, en rajoutant de l'eau au fur et à mesure qu'elle est absorbée (comme un risotto), ≈ 10 min.</t>
  </si>
  <si>
    <t xml:space="preserve">Ajouter 100 g de petits pois (égouttés), remettre 5 cl d'eau, poursuivre 3-4 min : les pâtes doivent être cuites et crémeuses, plus de liquide libre.</t>
  </si>
  <si>
    <t xml:space="preserve">Hors du feu, ajouter 50 g de crème épaisse et 30 g de grana padano râpé. Poivrer (pas de sel). Mélanger.</t>
  </si>
  <si>
    <t xml:space="preserve">Servir la moitié aussitôt. L'autre moitié en boîte ; réchauffer 3 min à la poêle avec 3 cs d'eau.</t>
  </si>
  <si>
    <t xml:space="preserve">22. Frittata d'été aux courgettes et mozzarella filante (+ pain)</t>
  </si>
  <si>
    <t xml:space="preserve">Les Commis — https://lescommis.com/recettes/la-frittata-dete-aux-courgettes-mozzarella-filante/</t>
  </si>
  <si>
    <t xml:space="preserve">Poêle avec couvercle + saladier</t>
  </si>
  <si>
    <t xml:space="preserve">Tomate → tomates cerises 125 g ; pain = ½ mini-baguette précuite x2 (80 g).</t>
  </si>
  <si>
    <t xml:space="preserve">2 œufs</t>
  </si>
  <si>
    <t xml:space="preserve">Courgette</t>
  </si>
  <si>
    <t xml:space="preserve">1 petite courgette</t>
  </si>
  <si>
    <t xml:space="preserve">½ barquette</t>
  </si>
  <si>
    <t xml:space="preserve">Mozzarella (boule)</t>
  </si>
  <si>
    <t xml:space="preserve">½ boule de 125 g</t>
  </si>
  <si>
    <t xml:space="preserve">Mozzarella</t>
  </si>
  <si>
    <t xml:space="preserve">Citron (zeste)</t>
  </si>
  <si>
    <t xml:space="preserve">¼ de citron</t>
  </si>
  <si>
    <t xml:space="preserve">Citron</t>
  </si>
  <si>
    <t xml:space="preserve">Pain (baguette ou pain de mie)</t>
  </si>
  <si>
    <t xml:space="preserve">2 tranches / ¼ de baguette</t>
  </si>
  <si>
    <t xml:space="preserve">Laver 350 g de courgette (1 grosse ou 2 petites), couper en fines rondelles. Couper 250 g de tomates cerises en deux. Hacher 1 gousse d'ail (ou 6 g de semoule).</t>
  </si>
  <si>
    <t xml:space="preserve">Dans une poêle de 24-26 cm avec couvercle, chauffer 30 ml d'huile à feu moyen-vif. Faire revenir les courgettes et l'ail 8 min en remuant, jusqu'à ce qu'elles soient tendres et dorées.</t>
  </si>
  <si>
    <t xml:space="preserve">Ajouter les tomates cerises et 1 g d'origan, faire dorer 2 min.</t>
  </si>
  <si>
    <t xml:space="preserve">Dans un saladier, battre 4 œufs avec 1 pincée de sel et du poivre.</t>
  </si>
  <si>
    <t xml:space="preserve">Baisser à feu doux, verser les œufs sur les légumes, répartir. Couvrir, cuire 8 min : le dessus doit être pris mais moelleux.</t>
  </si>
  <si>
    <t xml:space="preserve">En fin de cuisson, zester ½ citron sur la frittata (râpe fine).</t>
  </si>
  <si>
    <t xml:space="preserve">Faire glisser la frittata sur une assiette, déchirer 125 g de mozzarella dessus pour qu'elle fonde à la chaleur. Arroser d'un filet d'huile.</t>
  </si>
  <si>
    <t xml:space="preserve">Servir la moitié avec 1 mini-baguette (80 g, 8 min au grille-pain ou 5 min à la poêle couverte). L'autre moitié en boîte au frigo, se mange froide ou 1 min au micro-ondes, avec la 2e mini-baguette.</t>
  </si>
  <si>
    <t xml:space="preserve">23. Pâtes pesto caprese (boule de mozzarella, tomates cerises)</t>
  </si>
  <si>
    <t xml:space="preserve">Recette Barilla reprise par le blog Cuisinons vite et bon — https://geckomoon.canalblog.com/archives/2010/09/17/19080366.html</t>
  </si>
  <si>
    <t xml:space="preserve">15 min (5 + 10)</t>
  </si>
  <si>
    <t xml:space="preserve">1 casserole</t>
  </si>
  <si>
    <t xml:space="preserve">Version sans cuisson à part les pâtes ; 1 boule de mozzarella entière par portion (ton choix) ; lardons de la source supprimés.</t>
  </si>
  <si>
    <t xml:space="preserve">Pâtes sèches (spaghetti ou courtes)</t>
  </si>
  <si>
    <t xml:space="preserve">Pesto vert (pot)</t>
  </si>
  <si>
    <t xml:space="preserve">¼ pot</t>
  </si>
  <si>
    <t xml:space="preserve">Pesto vert</t>
  </si>
  <si>
    <t xml:space="preserve">1 boule</t>
  </si>
  <si>
    <t xml:space="preserve">Porter une grande casserole d'eau à ébullition, saler. Cuire 250 g de pâtes selon le paquet (al dente).</t>
  </si>
  <si>
    <t xml:space="preserve">Pendant la cuisson : couper 250 g de tomates cerises en deux. Égoutter 2 boules de mozzarella (125 g chacune) et les déchirer à la main en morceaux de la taille d'une noix (pas au couteau : les bords irréguliers fondent mieux).</t>
  </si>
  <si>
    <t xml:space="preserve">Juste avant d'égoutter, prélever 1 louche d'eau de cuisson (≈ 100 ml). Égoutter les pâtes et les remettre aussitôt dans la casserole chaude, hors du feu.</t>
  </si>
  <si>
    <t xml:space="preserve">Ajouter 100 g de pesto vert et la moitié de l'eau de cuisson. Mélanger vigoureusement 30 s : le pesto devient une sauce crémeuse qui enrobe. Rajouter de l'eau si c'est sec.</t>
  </si>
  <si>
    <t xml:space="preserve">Ajouter les tomates et la mozzarella, mélanger 20 s seulement : la chaleur des pâtes tiédit les tomates et fait filer la mozzarella sans la cuire.</t>
  </si>
  <si>
    <t xml:space="preserve">Poivrer, parsemer 30 g de parmesan râpé. Servir la moitié aussitôt.</t>
  </si>
  <si>
    <t xml:space="preserve">Portion du lendemain : en boîte au frigo. Se mange froide (salade de pâtes de luxe) ou 2 min au micro-ondes avec 1 cs d'eau ; dans ce cas garder la 2e boule entière et la déchirer dessus après réchauffage.</t>
  </si>
  <si>
    <t xml:space="preserve">24. Pâtes sauce tomate-basilic, mozzarella fondante &amp; parmesan</t>
  </si>
  <si>
    <t xml:space="preserve">Cuisine Étudiant (adaptée) — https://www.cuisine-etudiant.fr/recette/7633-pates-sauce-tomate-mozzarella-et-basilic</t>
  </si>
  <si>
    <t xml:space="preserve">15 min (3 + 12)</t>
  </si>
  <si>
    <t xml:space="preserve">Casserole + sauteuse</t>
  </si>
  <si>
    <t xml:space="preserve">Sans oignon ni tomates cerises (ton choix) ; sauce du commerce mijotée 5 min ; 1 boule de mozzarella pour 2 portions ; parmesan ajouté.</t>
  </si>
  <si>
    <t xml:space="preserve">Sauce tomate-basilic (pot)</t>
  </si>
  <si>
    <t xml:space="preserve">½ pot de 420 g</t>
  </si>
  <si>
    <t xml:space="preserve">Sauce tomate-basilic</t>
  </si>
  <si>
    <t xml:space="preserve">½ boule</t>
  </si>
  <si>
    <t xml:space="preserve">Porter une grande casserole d'eau à ébullition, saler. Cuire 250 g de pâtes selon le paquet, moins 1 min (elles finissent dans la sauce).</t>
  </si>
  <si>
    <t xml:space="preserve">Dans une sauteuse, chauffer 10 ml d'huile à feu moyen. Verser le pot entier de sauce tomate-basilic (420 g), laisser mijoter 5 min à petits bouillons en remuant : la sauce se concentre et perd le goût de bocal. Option protéine : dorer 120 g de lardons ou de chorizo 3 min dans la sauteuse AVANT la sauce.</t>
  </si>
  <si>
    <t xml:space="preserve">Déchirer 1 boule de mozzarella (125 g) en morceaux.</t>
  </si>
  <si>
    <t xml:space="preserve">Égoutter les pâtes en gardant 1 louche d'eau. Les verser dans la sauce, mélanger 2 min à feu doux ; ajouter un peu d'eau de cuisson si ça accroche.</t>
  </si>
  <si>
    <t xml:space="preserve">Couper le feu. Répartir la mozzarella sur les pâtes, couvrir 2 min : elle fond et file sans cuire.</t>
  </si>
  <si>
    <t xml:space="preserve">Mélanger une seule fois, poivrer, parsemer 30 g de parmesan râpé. Servir la moitié.</t>
  </si>
  <si>
    <t xml:space="preserve">Portion du lendemain : en boîte au frigo, réchauffer 3 min à la poêle couverte ou 2 min au micro-ondes avec 1 cs d'eau (la mozzarella redevient filante).</t>
  </si>
  <si>
    <t xml:space="preserve">Nutrition — estimation ingrédient par ingrédient, 1 PORTION (Ciqual / étiquettes pour 100 g ou 100 ml). Colonnes bleues = données saisies.</t>
  </si>
  <si>
    <t xml:space="preserve">Ingrédient</t>
  </si>
  <si>
    <t xml:space="preserve">Qté / portion</t>
  </si>
  <si>
    <t xml:space="preserve">kcal/100</t>
  </si>
  <si>
    <t xml:space="preserve">Prot/100</t>
  </si>
  <si>
    <t xml:space="preserve">Gluc/100</t>
  </si>
  <si>
    <t xml:space="preserve">Lip/100</t>
  </si>
  <si>
    <t xml:space="preserve">kcal</t>
  </si>
  <si>
    <t xml:space="preserve">Protéines g</t>
  </si>
  <si>
    <t xml:space="preserve">Glucides g</t>
  </si>
  <si>
    <t xml:space="preserve">Lipides g</t>
  </si>
  <si>
    <t xml:space="preserve">Contrôle</t>
  </si>
  <si>
    <t xml:space="preserve">TOTAL 1 PORTION</t>
  </si>
  <si>
    <t xml:space="preserve">x2 (dîner + midi lendemain)</t>
  </si>
  <si>
    <t xml:space="preserve">% de l'énergie (P / G / L)</t>
  </si>
  <si>
    <t xml:space="preserve">Fiches 1 personne (x2 pour dîner + midi) — substitutions éco appliquées</t>
  </si>
  <si>
    <t xml:space="preserve"># recette</t>
  </si>
  <si>
    <t xml:space="preserve">Recette</t>
  </si>
  <si>
    <t xml:space="preserve">Note de substitution</t>
  </si>
  <si>
    <t xml:space="preserve">Poulet au curry, lait de coco et noix de cajou + riz</t>
  </si>
  <si>
    <t xml:space="preserve">Gnocchis aux épinards, crème et lardons</t>
  </si>
  <si>
    <t xml:space="preserve">Croque-monsieur express</t>
  </si>
  <si>
    <t xml:space="preserve">Hachis parmentier rapide (purée en flocons)</t>
  </si>
  <si>
    <t xml:space="preserve">Pâtes à la « carbonara » à la française</t>
  </si>
  <si>
    <t xml:space="preserve">Poulet à la crème et aux champignons + spaghetti</t>
  </si>
  <si>
    <t xml:space="preserve">Quesadillas chorizo-emmental &amp; avocat (version éco)</t>
  </si>
  <si>
    <t xml:space="preserve">Pâtes au pesto rosso et au poulet (+ parmesan)</t>
  </si>
  <si>
    <t xml:space="preserve">Riz au chorizo et poivrons (façon paella express)</t>
  </si>
  <si>
    <t xml:space="preserve">Côtes d'échine à la moutarde et à la crème + spaghetti</t>
  </si>
  <si>
    <t xml:space="preserve">Raviolis frais à la sauce tomate-crème (poivron, épices)</t>
  </si>
  <si>
    <t xml:space="preserve">Ravioli poêlés à la tomate et mozzarella</t>
  </si>
  <si>
    <t xml:space="preserve">Tortellini aux champignons, sauce crème-parmesan</t>
  </si>
  <si>
    <t xml:space="preserve">Risotto aux lardons et champignons</t>
  </si>
  <si>
    <t xml:space="preserve">Saucisses-lentilles express (lentilles en conserve)</t>
  </si>
  <si>
    <t xml:space="preserve">« Couscous » étudiant poulet, carottes, pois chiches</t>
  </si>
  <si>
    <t xml:space="preserve">Poulet basquaise et son riz</t>
  </si>
  <si>
    <t xml:space="preserve">Chakchouka au chèvre frais &amp; pains pita</t>
  </si>
  <si>
    <t xml:space="preserve">Pâtes crémeuses au chèvre, miel et lardons</t>
  </si>
  <si>
    <t xml:space="preserve">One pot pasta chorizo-basilic</t>
  </si>
  <si>
    <t xml:space="preserve">Risotto de coquillettes au jambon, petits pois et parmesan</t>
  </si>
  <si>
    <t xml:space="preserve">Frittata d'été aux courgettes et mozzarella filante (+ pain)</t>
  </si>
  <si>
    <t xml:space="preserve">Pâtes pesto caprese (boule de mozzarella, tomates cerises)</t>
  </si>
  <si>
    <t xml:space="preserve">Pâtes sauce tomate-basilic, mozzarella fondante &amp; parmesan</t>
  </si>
  <si>
    <t xml:space="preserve">Semaine 1 — total 47.66 € (marge 7.34 €) — retrait Chronodrive le dimanche</t>
  </si>
  <si>
    <t xml:space="preserve">PLANNING</t>
  </si>
  <si>
    <t xml:space="preserve">Jour</t>
  </si>
  <si>
    <t xml:space="preserve">Midi</t>
  </si>
  <si>
    <t xml:space="preserve">Soir</t>
  </si>
  <si>
    <t xml:space="preserve">kcal / portion (soir)</t>
  </si>
  <si>
    <t xml:space="preserve">À cuisiner ce jour</t>
  </si>
  <si>
    <t xml:space="preserve">Note</t>
  </si>
  <si>
    <t xml:space="preserve">Macros / portion (P / G / L en g)</t>
  </si>
  <si>
    <t xml:space="preserve">Dimanche (retrait)</t>
  </si>
  <si>
    <t xml:space="preserve">libre / reste</t>
  </si>
  <si>
    <t xml:space="preserve">Pizza : Auchan Pizza royale jambon-fromage-olives 400 g</t>
  </si>
  <si>
    <t xml:space="preserve">≈ 900</t>
  </si>
  <si>
    <t xml:space="preserve">Four 12 min</t>
  </si>
  <si>
    <t xml:space="preserve">Retrait du drive le matin</t>
  </si>
  <si>
    <t xml:space="preserve">Lundi</t>
  </si>
  <si>
    <t xml:space="preserve">Portion 2 de la pizza / reste</t>
  </si>
  <si>
    <t xml:space="preserve">30 min (5 + 25) — 2 portions</t>
  </si>
  <si>
    <t xml:space="preserve">Mardi</t>
  </si>
  <si>
    <t xml:space="preserve">Portion 2 de : Côtes d'échine à la moutarde et à la crème + spaghetti</t>
  </si>
  <si>
    <t xml:space="preserve">30 min (annoncé) — mijotage 20-25 min — 2 portions</t>
  </si>
  <si>
    <t xml:space="preserve">Mercredi</t>
  </si>
  <si>
    <t xml:space="preserve">Portion 2 de : « Couscous » étudiant poulet, carottes, pois chiches</t>
  </si>
  <si>
    <t xml:space="preserve">20 min (5 + 15) — 2 portions</t>
  </si>
  <si>
    <t xml:space="preserve">Jeudi</t>
  </si>
  <si>
    <t xml:space="preserve">Portion 2 de : Pâtes à la « carbonara » à la française</t>
  </si>
  <si>
    <t xml:space="preserve">30 min (10 + 20) — 2 portions</t>
  </si>
  <si>
    <t xml:space="preserve">Vendredi</t>
  </si>
  <si>
    <t xml:space="preserve">Portion 2 de : Riz au chorizo et poivrons (façon paella express)</t>
  </si>
  <si>
    <t xml:space="preserve">15 min — 2 portions</t>
  </si>
  <si>
    <t xml:space="preserve">Samedi</t>
  </si>
  <si>
    <t xml:space="preserve">Portion 2 de : Saucisses-lentilles express (lentilles en conserve)</t>
  </si>
  <si>
    <t xml:space="preserve">½ Auchan Poulet basquaise et riz 900 g</t>
  </si>
  <si>
    <t xml:space="preserve">≈ 900-1 000</t>
  </si>
  <si>
    <t xml:space="preserve">Poêle / micro-ondes</t>
  </si>
  <si>
    <t xml:space="preserve">Sachet coupé en 2 (congélateur)</t>
  </si>
  <si>
    <t xml:space="preserve">Dimanche midi</t>
  </si>
  <si>
    <t xml:space="preserve">→ pizza de la semaine suivante</t>
  </si>
  <si>
    <t xml:space="preserve">LISTE DE COURSES CHRONODRIVE — formats entiers</t>
  </si>
  <si>
    <t xml:space="preserve">Produit exact (Chronodrive)</t>
  </si>
  <si>
    <t xml:space="preserve">Rayon</t>
  </si>
  <si>
    <t xml:space="preserve">Qté à acheter</t>
  </si>
  <si>
    <t xml:space="preserve">Prix unitaire €</t>
  </si>
  <si>
    <t xml:space="preserve">Total €</t>
  </si>
  <si>
    <t xml:space="preserve">Besoin semaine (2 portions x 5)</t>
  </si>
  <si>
    <t xml:space="preserve">Acheté</t>
  </si>
  <si>
    <t xml:space="preserve">Reste après la semaine</t>
  </si>
  <si>
    <t xml:space="preserve">dont gâchis estimé €</t>
  </si>
  <si>
    <t xml:space="preserve">dont stock (se garde) €</t>
  </si>
  <si>
    <t xml:space="preserve">Sert aux recettes</t>
  </si>
  <si>
    <t xml:space="preserve">Auchan chorizo doux 24 tranches 120 g</t>
  </si>
  <si>
    <t xml:space="preserve">Charcuterie</t>
  </si>
  <si>
    <t xml:space="preserve">9</t>
  </si>
  <si>
    <t xml:space="preserve">Auchan lardons fumés 2 x 100 g</t>
  </si>
  <si>
    <t xml:space="preserve">5, 15</t>
  </si>
  <si>
    <t xml:space="preserve">Auchan Knacks 10 pièces 350 g</t>
  </si>
  <si>
    <t xml:space="preserve">15</t>
  </si>
  <si>
    <t xml:space="preserve">Auchan crème épaisse légère 15 % 20 cl</t>
  </si>
  <si>
    <t xml:space="preserve">Crèmerie</t>
  </si>
  <si>
    <t xml:space="preserve">10</t>
  </si>
  <si>
    <t xml:space="preserve">Auchan Essentiel crème fluide légère 15 % 20 cl</t>
  </si>
  <si>
    <t xml:space="preserve">5</t>
  </si>
  <si>
    <t xml:space="preserve">Auchan œufs plein air x6</t>
  </si>
  <si>
    <t xml:space="preserve">Carottes zéro résidu 750 g</t>
  </si>
  <si>
    <t xml:space="preserve">Fruits &amp; légumes</t>
  </si>
  <si>
    <t xml:space="preserve">15, 16</t>
  </si>
  <si>
    <t xml:space="preserve">Oignon jaune 1 kg</t>
  </si>
  <si>
    <t xml:space="preserve">5, 9, 15, 16</t>
  </si>
  <si>
    <t xml:space="preserve">Poivron rouge 1 pièce</t>
  </si>
  <si>
    <t xml:space="preserve">Porc côtes échines sans os LR 2 pièces 300 g</t>
  </si>
  <si>
    <t xml:space="preserve">Viande</t>
  </si>
  <si>
    <t xml:space="preserve">Auchan filets de poulet blanc 260 g</t>
  </si>
  <si>
    <t xml:space="preserve">16</t>
  </si>
  <si>
    <t xml:space="preserve">Auchan lentilles préparées 530 g</t>
  </si>
  <si>
    <t xml:space="preserve">Épicerie</t>
  </si>
  <si>
    <t xml:space="preserve">Auchan pois chiches 265 g</t>
  </si>
  <si>
    <t xml:space="preserve">Auchan Essentiel riz long 1 kg</t>
  </si>
  <si>
    <t xml:space="preserve">Auchan couscous grain moyen 500 g</t>
  </si>
  <si>
    <t xml:space="preserve">Auchan spaghetti 500 g</t>
  </si>
  <si>
    <t xml:space="preserve">5, 10</t>
  </si>
  <si>
    <t xml:space="preserve">TOTAL COURSES RECETTES</t>
  </si>
  <si>
    <t xml:space="preserve">Surgelé (week-end)</t>
  </si>
  <si>
    <t xml:space="preserve">Samedi soir + dimanche midi</t>
  </si>
  <si>
    <t xml:space="preserve">Dimanche soir</t>
  </si>
  <si>
    <t xml:space="preserve">TOTAL PANIER (recettes + week-end)</t>
  </si>
  <si>
    <t xml:space="preserve">PLACARD / BASES utilisées cette semaine — comptées au PRIX PLEIN du format</t>
  </si>
  <si>
    <t xml:space="preserve">Produit exact</t>
  </si>
  <si>
    <t xml:space="preserve">Prix format €</t>
  </si>
  <si>
    <t xml:space="preserve">Qté utilisée cette semaine</t>
  </si>
  <si>
    <t xml:space="preserve">Contenu format</t>
  </si>
  <si>
    <t xml:space="preserve">Reste (stock)</t>
  </si>
  <si>
    <t xml:space="preserve">Valeur du reste €</t>
  </si>
  <si>
    <t xml:space="preserve">Placard</t>
  </si>
  <si>
    <t xml:space="preserve">10, 15</t>
  </si>
  <si>
    <t xml:space="preserve">9, 16</t>
  </si>
  <si>
    <t xml:space="preserve">5, 9, 10, 15, 16</t>
  </si>
  <si>
    <t xml:space="preserve">TOTAL placard (prix plein)</t>
  </si>
  <si>
    <t xml:space="preserve">BUDGET</t>
  </si>
  <si>
    <t xml:space="preserve">Panier recettes + week-end</t>
  </si>
  <si>
    <t xml:space="preserve">+ placard / bases au prix plein</t>
  </si>
  <si>
    <t xml:space="preserve">TOTAL PANIER CHRONODRIVE DE LA SEMAINE</t>
  </si>
  <si>
    <t xml:space="preserve">Budget max</t>
  </si>
  <si>
    <t xml:space="preserve">Marge</t>
  </si>
  <si>
    <t xml:space="preserve">Gâchis estimé (périssable non consommé)</t>
  </si>
  <si>
    <t xml:space="preserve">Gâchis en % du panier</t>
  </si>
  <si>
    <t xml:space="preserve">Reste non périssable (stock)</t>
  </si>
  <si>
    <t xml:space="preserve">Coût par portion (14 repas)</t>
  </si>
  <si>
    <t xml:space="preserve">Si le placard est déjà plein chez toi, le panier réel redescend à</t>
  </si>
  <si>
    <t xml:space="preserve">ÉTAPES DES 5 RECETTES DE LA SEMAINE (2 portions chacune)</t>
  </si>
  <si>
    <t xml:space="preserve">Lundi — 10. Côtes d'échine à la moutarde et à la crème + spaghetti — 30 min (5 + 25)</t>
  </si>
  <si>
    <t xml:space="preserve">Côtes d'échine de porc sans os : 300 g ; Moutarde de Dijon : 30 g ; Crème fraîche épaisse : 80 g ; Beurre (ou margarine) : 20 g ; Spaghetti (remplace les tagliatelles) : 200 g ; Poivre : 2 g ; Sel : 0 g</t>
  </si>
  <si>
    <t xml:space="preserve">Étape 1</t>
  </si>
  <si>
    <t xml:space="preserve">Étape 2</t>
  </si>
  <si>
    <t xml:space="preserve">Étape 3</t>
  </si>
  <si>
    <t xml:space="preserve">Étape 4</t>
  </si>
  <si>
    <t xml:space="preserve">Étape 5</t>
  </si>
  <si>
    <t xml:space="preserve">Étape 6</t>
  </si>
  <si>
    <t xml:space="preserve">Étape 7</t>
  </si>
  <si>
    <t xml:space="preserve">Mardi — 16. « Couscous » étudiant poulet, carottes, pois chiches — 30 min (annoncé) — mijotage 20-25 min</t>
  </si>
  <si>
    <t xml:space="preserve">Blanc de poulet : 240 g ; Carotte : 200 g ; Pois chiches cuits (boîte, égouttés) : 200 g ; Oignon : 60 g ; Ras el hanout (ou curry + cumin) : 14 g ; Cube de bouillon de légumes : 10 g ; Eau (pour le mijotage) : 200 ml ; Huile d'olive : 30 ml ; Semoule de couscous (sèche) : 200 g ; Eau bouillante (pour la semoule) : 240 ml ; Poivre : 1 g ; Sel : 1 g</t>
  </si>
  <si>
    <t xml:space="preserve">Mercredi — 5. Pâtes à la « carbonara » à la française — 20 min (5 + 15)</t>
  </si>
  <si>
    <t xml:space="preserve">Pâtes sèches (spaghetti, penne…) : 250 g ; Crème fraîche (liquide ou épaisse) : 250 ml ; Jaune d'œuf : 36 g ; Lardons fumés : 120 g ; Oignon : 100 g ; Sel : 2 g ; Poivre : 2 g</t>
  </si>
  <si>
    <t xml:space="preserve">Jeudi — 9. Riz au chorizo et poivrons (façon paella express) — 30 min (10 + 20)</t>
  </si>
  <si>
    <t xml:space="preserve">Chorizo (doux ou fort) : 120 g ; Poivron vert : 50 g ; Poivron rouge : 50 g ; Oignon : 80 g ; Riz long cru : 180 g ; Cube de bouillon de volaille : 6 g ; Eau : 400 ml ; Huile : 20 ml ; Sel : 1 g ; Poivre : 1 g</t>
  </si>
  <si>
    <t xml:space="preserve">Vendredi — 15. Saucisses-lentilles express (lentilles en conserve) — 15 min</t>
  </si>
  <si>
    <t xml:space="preserve">Saucisses (Knacki ; ou 2 chipolatas) : 280 g ; Lentilles en conserve (poids égoutté) : 400 g ; Oignon : 80 g ; Carotte : 100 g ; Lardons fumés (ou allumettes de bacon) : 80 g ; Beurre ou huile : 10 g ; Poivre : 1 g ; Sel : 1 g</t>
  </si>
  <si>
    <t xml:space="preserve">Semaine 2 — total 45.09 € (marge 9.91 €) — retrait Chronodrive le dimanche</t>
  </si>
  <si>
    <t xml:space="preserve">Pizza : Ristorante 4 fromages 340 g</t>
  </si>
  <si>
    <t xml:space="preserve">25 min (5 + 20) — 2 portions</t>
  </si>
  <si>
    <t xml:space="preserve">Portion 2 de : Croque-monsieur express</t>
  </si>
  <si>
    <t xml:space="preserve">12 min (5 + 7) — 2 portions</t>
  </si>
  <si>
    <t xml:space="preserve">Portion 2 de : Gnocchis aux épinards, crème et lardons</t>
  </si>
  <si>
    <t xml:space="preserve">20 min — 2 portions</t>
  </si>
  <si>
    <t xml:space="preserve">Portion 2 de : Frittata d'été aux courgettes et mozzarella filante (+ pain)</t>
  </si>
  <si>
    <t xml:space="preserve">Portion 2 de : Risotto de coquillettes au jambon, petits pois et parmesan</t>
  </si>
  <si>
    <t xml:space="preserve">15 min (3 + 12) — 2 portions</t>
  </si>
  <si>
    <t xml:space="preserve">Portion 2 de : Pâtes sauce tomate-basilic, mozzarella fondante &amp; parmesan</t>
  </si>
  <si>
    <t xml:space="preserve">½ Auchan Penne poulet-champignons 900 g</t>
  </si>
  <si>
    <t xml:space="preserve">Auchan Jambon de Paris 8 tranches 280 g</t>
  </si>
  <si>
    <t xml:space="preserve">3, 21</t>
  </si>
  <si>
    <t xml:space="preserve">2</t>
  </si>
  <si>
    <t xml:space="preserve">Auchan emmental râpé 3 x 70 g</t>
  </si>
  <si>
    <t xml:space="preserve">2, 3</t>
  </si>
  <si>
    <t xml:space="preserve">Auchan Tavola grana padano râpé 60 g</t>
  </si>
  <si>
    <t xml:space="preserve">21, 24</t>
  </si>
  <si>
    <t xml:space="preserve">Casa Azzurra mozzarella 125 g</t>
  </si>
  <si>
    <t xml:space="preserve">22, 24</t>
  </si>
  <si>
    <t xml:space="preserve">22</t>
  </si>
  <si>
    <t xml:space="preserve">Auchan gnocchi de pomme de terre à poêler 500 g</t>
  </si>
  <si>
    <t xml:space="preserve">Frais</t>
  </si>
  <si>
    <t xml:space="preserve">Citron jaune 1 pièce</t>
  </si>
  <si>
    <t xml:space="preserve">Courgette 1 pièce</t>
  </si>
  <si>
    <t xml:space="preserve">2, 21</t>
  </si>
  <si>
    <t xml:space="preserve">Bonduelle pousses d'épinard 100 g</t>
  </si>
  <si>
    <t xml:space="preserve">Tomates cerises 250 g</t>
  </si>
  <si>
    <t xml:space="preserve">Auchan coquillettes 500 g</t>
  </si>
  <si>
    <t xml:space="preserve">21</t>
  </si>
  <si>
    <t xml:space="preserve">Auchan pain de mie complet 14 tranches 550 g</t>
  </si>
  <si>
    <t xml:space="preserve">3, 22</t>
  </si>
  <si>
    <t xml:space="preserve">Auchan petits pois extra-fins 560 g (380 g égoutté)</t>
  </si>
  <si>
    <t xml:space="preserve">Auchan sauce tomate basilic 420 g (prix estimé ; Carrefour Bomerée : Classic' 420 g 1,39 €)</t>
  </si>
  <si>
    <t xml:space="preserve">24</t>
  </si>
  <si>
    <t xml:space="preserve">21, 22</t>
  </si>
  <si>
    <t xml:space="preserve">21, 22, 24</t>
  </si>
  <si>
    <t xml:space="preserve">2, 3, 21, 22, 24</t>
  </si>
  <si>
    <t xml:space="preserve">Lundi — 3. Croque-monsieur express — 25 min (5 + 20)</t>
  </si>
  <si>
    <t xml:space="preserve">Pain de mie (tranches carrées) : 320 g ; Crème fraîche épaisse : 120 g ; Gruyère / emmental râpé : 100 g ; Jambon blanc : 140 g ; Sel : 1 g ; Poivre : 1 g</t>
  </si>
  <si>
    <t xml:space="preserve">Mardi — 2. Gnocchis aux épinards, crème et lardons — 12 min (5 + 7)</t>
  </si>
  <si>
    <t xml:space="preserve">Gnocchis (frais, à poêler ou à pocher) : 500 g ; Oignon : 100 g ; Lardons fumés : 120 g ; Parmesan râpé (ou emmental) : 40 g ; Crème liquide : 200 ml ; Pousses d'épinards : 100 g ; Sel : 2 g ; Poivre : 1 g</t>
  </si>
  <si>
    <t xml:space="preserve">Mercredi — 22. Frittata d'été aux courgettes et mozzarella filante (+ pain) — 20 min</t>
  </si>
  <si>
    <t xml:space="preserve">Œufs : 220 g ; Courgette : 350 g ; Tomates cerises : 250 g ; Mozzarella (boule) : 124 g ; Ail : 6 g ; Citron (zeste) : 50 g ; Origan séché : 1 g ; Huile d'olive : 30 ml ; Pain (baguette ou pain de mie) : 160 g ; Sel : 1 g ; Poivre : 1 g</t>
  </si>
  <si>
    <t xml:space="preserve">Étape 8</t>
  </si>
  <si>
    <t xml:space="preserve">Jeudi — 21. Risotto de coquillettes au jambon, petits pois et parmesan — 25 min (5 + 20)</t>
  </si>
  <si>
    <t xml:space="preserve">Coquillettes sèches : 250 g ; Oignon : 100 g ; Ail : 6 g ; Petits pois surgelés : 100 g ; Jambon blanc : 140 g ; Cube de bouillon de volaille : 10 g ; Eau : 700 ml ; Parmesan râpé : 30 g ; Mascarpone (ou crème épaisse) : 50 g ; Huile : 10 ml ; Poivre : 1 g ; Sel : 0 g</t>
  </si>
  <si>
    <t xml:space="preserve">Vendredi — 24. Pâtes sauce tomate-basilic, mozzarella fondante &amp; parmesan — 15 min (3 + 12)</t>
  </si>
  <si>
    <t xml:space="preserve">Pâtes sèches (spaghetti ou courtes) : 250 g ; Sauce tomate-basilic (pot) : 420 ml ; Mozzarella (boule) : 124 g ; Parmesan râpé : 30 g ; Huile : 10 ml ; Sel : 2 g ; Poivre : 1 g</t>
  </si>
  <si>
    <t xml:space="preserve">Semaine 3 — total 55.13 € (marge -0.13 €) — retrait Chronodrive le dimanche</t>
  </si>
  <si>
    <t xml:space="preserve">Pizza : Auchan Pizza au chèvre 390 g</t>
  </si>
  <si>
    <t xml:space="preserve">Portion 2 de : Ravioli poêlés à la tomate et mozzarella</t>
  </si>
  <si>
    <t xml:space="preserve">15 min (5 + 10) — 2 portions</t>
  </si>
  <si>
    <t xml:space="preserve">Portion 2 de : Pâtes pesto caprese (boule de mozzarella, tomates cerises)</t>
  </si>
  <si>
    <t xml:space="preserve">25 min (10 + 15) — 2 portions</t>
  </si>
  <si>
    <t xml:space="preserve">Portion 2 de : Poulet au curry, lait de coco et noix de cajou + riz</t>
  </si>
  <si>
    <t xml:space="preserve">Portion 2 de : Quesadillas chorizo-emmental &amp; avocat (version éco)</t>
  </si>
  <si>
    <t xml:space="preserve">½ Marie Lasagnes à la bolognaise 1 kg</t>
  </si>
  <si>
    <t xml:space="preserve">7</t>
  </si>
  <si>
    <t xml:space="preserve">7, 10</t>
  </si>
  <si>
    <t xml:space="preserve">7, 12</t>
  </si>
  <si>
    <t xml:space="preserve">23</t>
  </si>
  <si>
    <t xml:space="preserve">Auchan ravioli aux fromages 300 g</t>
  </si>
  <si>
    <t xml:space="preserve">12</t>
  </si>
  <si>
    <t xml:space="preserve">Avocat 1 pièce</t>
  </si>
  <si>
    <t xml:space="preserve">12, 23</t>
  </si>
  <si>
    <t xml:space="preserve">1</t>
  </si>
  <si>
    <t xml:space="preserve">Auchan Recette d'Asie lait de coco 20 cl</t>
  </si>
  <si>
    <t xml:space="preserve">Auchan Essentiel noix de cajou 125 g</t>
  </si>
  <si>
    <t xml:space="preserve">Auchan Tavola pesto verde 185 g (prix estimé ; Carrefour Bomerée : Classic' 190 g 1,49 €)</t>
  </si>
  <si>
    <t xml:space="preserve">Auchan pulpe de tomates concassées 400 g</t>
  </si>
  <si>
    <t xml:space="preserve">10, 23</t>
  </si>
  <si>
    <t xml:space="preserve">Auchan tortillas de blé 8 pièces 320 g</t>
  </si>
  <si>
    <t xml:space="preserve">1, 7, 12</t>
  </si>
  <si>
    <t xml:space="preserve">1, 7, 10, 12, 23</t>
  </si>
  <si>
    <t xml:space="preserve">Mardi — 12. Ravioli poêlés à la tomate et mozzarella — 15 min</t>
  </si>
  <si>
    <t xml:space="preserve">Ravioli frais aux fromages (remplace les ravioles) : 500 g ; Tomates cerises : 120 g ; Coulis de tomate : 160 ml ; Mozzarella râpée (ou emmental) : 80 g ; Basilic frais : 4 g ; Eau : 60 ml ; Huile d'olive : 16 ml ; Sel : 1 g ; Poivre : 1 g</t>
  </si>
  <si>
    <t xml:space="preserve">Mercredi — 23. Pâtes pesto caprese (boule de mozzarella, tomates cerises) — 15 min (5 + 10)</t>
  </si>
  <si>
    <t xml:space="preserve">Pâtes sèches (spaghetti ou courtes) : 250 g ; Pesto vert (pot) : 100 g ; Tomates cerises : 250 g ; Mozzarella (boule) : 250 g ; Parmesan râpé : 30 g ; Sel : 2 g ; Poivre : 1 g</t>
  </si>
  <si>
    <t xml:space="preserve">Jeudi — 1. Poulet au curry, lait de coco et noix de cajou + riz — 25 min (10 + 15)</t>
  </si>
  <si>
    <t xml:space="preserve">Filet de poulet : 260 g ; Lait de coco : 200 ml ; Curry en poudre : 4 g ; Sauce soja : 10 ml ; Noix de cajou grillées salées : 40 g ; Maïzena : 10 g ; Huile : 30 ml ; Riz long cru : 160 g ; Sel : 2 g ; Poivre : 1 g</t>
  </si>
  <si>
    <t xml:space="preserve">Vendredi — 7. Quesadillas chorizo-emmental &amp; avocat (version éco) — 20 min</t>
  </si>
  <si>
    <t xml:space="preserve">Dés de chorizo : 100 g ; Tortillas de blé : 160 g ; Emmental râpé (remplace cheddar + gouda) : 120 g ; Avocat : 150 g ; Crème fraîche épaisse : 100 g ; Huile d'olive : 14 ml ; Vinaigre (balsamique blanc, riz ou cidre) : 4 ml ; Sel : 1 g ; Poivre : 1 g</t>
  </si>
  <si>
    <t xml:space="preserve">Semaine 4 — total 49.05 € (marge 5.95 €) — retrait Chronodrive le dimanche</t>
  </si>
  <si>
    <t xml:space="preserve">Pizza : Auchan Pizza bolognaise 390 g</t>
  </si>
  <si>
    <t xml:space="preserve">Portion 2 de : Pâtes crémeuses au chèvre, miel et lardons</t>
  </si>
  <si>
    <t xml:space="preserve">½ Auchan Torsades à la carbonara 900 g</t>
  </si>
  <si>
    <t xml:space="preserve">15, 19</t>
  </si>
  <si>
    <t xml:space="preserve">Auchan bûche de chèvre fondant 180 g</t>
  </si>
  <si>
    <t xml:space="preserve">19</t>
  </si>
  <si>
    <t xml:space="preserve">9, 15, 16, 19</t>
  </si>
  <si>
    <t xml:space="preserve">19, 24</t>
  </si>
  <si>
    <t xml:space="preserve">9, 16, 24</t>
  </si>
  <si>
    <t xml:space="preserve">9, 15, 16, 19, 24</t>
  </si>
  <si>
    <t xml:space="preserve">Lundi — 16. « Couscous » étudiant poulet, carottes, pois chiches — 30 min (annoncé) — mijotage 20-25 min</t>
  </si>
  <si>
    <t xml:space="preserve">Mardi — 24. Pâtes sauce tomate-basilic, mozzarella fondante &amp; parmesan — 15 min (3 + 12)</t>
  </si>
  <si>
    <t xml:space="preserve">Mercredi — 9. Riz au chorizo et poivrons (façon paella express) — 30 min (10 + 20)</t>
  </si>
  <si>
    <t xml:space="preserve">Jeudi — 19. Pâtes crémeuses au chèvre, miel et lardons — 15 min</t>
  </si>
  <si>
    <t xml:space="preserve">Pâtes sèches (torti, penne…) : 240 g ; Lardons fumés : 100 g ; Crème liquide (source : légère 4 %) : 150 ml ; Fromage de chèvre (bûche) : 100 g ; Échalote (ou oignon) : 30 g ; Miel liquide : 10 g ; Origan séché : 1 g ; Sel : 2 g ; Poivre : 1 g</t>
  </si>
  <si>
    <t xml:space="preserve">Semaine 5 — total 50.62 € (marge 4.38 €) — retrait Chronodrive le dimanche</t>
  </si>
  <si>
    <t xml:space="preserve">Pizza : Auchan Les Italiennes 4 fromages 340 g</t>
  </si>
  <si>
    <t xml:space="preserve">20 min (8 + 12) — 2 portions</t>
  </si>
  <si>
    <t xml:space="preserve">Portion 2 de : Tortellini aux champignons, sauce crème-parmesan</t>
  </si>
  <si>
    <t xml:space="preserve">36 min (annoncé) — ≈ 30 min réel — 2 portions</t>
  </si>
  <si>
    <t xml:space="preserve">Portion 2 de : Risotto aux lardons et champignons</t>
  </si>
  <si>
    <t xml:space="preserve">30 min (annoncé) — ≈ 25 min — 2 portions</t>
  </si>
  <si>
    <t xml:space="preserve">Portion 2 de : One pot pasta chorizo-basilic</t>
  </si>
  <si>
    <t xml:space="preserve">½ Auchan Riz cantonais 900 g</t>
  </si>
  <si>
    <t xml:space="preserve">Auchan Terroir chorizo doux 225 g</t>
  </si>
  <si>
    <t xml:space="preserve">20</t>
  </si>
  <si>
    <t xml:space="preserve">Herta Le Bon Paris 4 tranches 140 g</t>
  </si>
  <si>
    <t xml:space="preserve">5, 14</t>
  </si>
  <si>
    <t xml:space="preserve">13, 21</t>
  </si>
  <si>
    <t xml:space="preserve">Auchan crème fluide légère 15 % 3 x 20 cl</t>
  </si>
  <si>
    <t xml:space="preserve">Auchan Tavola grana padano râpé 120 g</t>
  </si>
  <si>
    <t xml:space="preserve">13, 14, 20, 21</t>
  </si>
  <si>
    <t xml:space="preserve">Auchan Tavola tortellini 3 fromages 250 g</t>
  </si>
  <si>
    <t xml:space="preserve">13</t>
  </si>
  <si>
    <t xml:space="preserve">5, 13, 14, 20, 21</t>
  </si>
  <si>
    <t xml:space="preserve">Auchan champignons émincés boîte 230 g égoutté</t>
  </si>
  <si>
    <t xml:space="preserve">13, 14</t>
  </si>
  <si>
    <t xml:space="preserve">Auchan riz pour risotto 500 g</t>
  </si>
  <si>
    <t xml:space="preserve">14</t>
  </si>
  <si>
    <t xml:space="preserve">5, 20</t>
  </si>
  <si>
    <t xml:space="preserve">13, 20, 21</t>
  </si>
  <si>
    <t xml:space="preserve">14, 21</t>
  </si>
  <si>
    <t xml:space="preserve">Lundi — 13. Tortellini aux champignons, sauce crème-parmesan — 20 min (8 + 12)</t>
  </si>
  <si>
    <t xml:space="preserve">Tortellini frais (fromage ou viande) : 400 g ; Champignons de Paris frais (ou boîte égouttée) : 150 g ; Oignon jaune : 60 g ; Ail : 6 g ; Crème fraîche épaisse : 120 g ; Beurre : 10 g ; Huile d'olive : 10 ml ; Parmesan râpé : 30 g ; Moutarde de Dijon : 6 g ; Farine (option, pour lier) : 4 g ; Sel : 2 g ; Poivre : 1 g</t>
  </si>
  <si>
    <t xml:space="preserve">Mardi — 21. Risotto de coquillettes au jambon, petits pois et parmesan — 25 min (5 + 20)</t>
  </si>
  <si>
    <t xml:space="preserve">Jeudi — 14. Risotto aux lardons et champignons — 36 min (annoncé) — ≈ 30 min réel</t>
  </si>
  <si>
    <t xml:space="preserve">Riz spécial risotto (arborio / riz rond) : 220 g ; Lardons fumés : 150 g ; Champignons de Paris frais : 250 g ; Oignon : 100 g ; Crème liquide : 160 ml ; Cube de bouillon de volaille : 10 g ; Eau : 750 ml ; Huile d'olive : 20 ml ; Parmesan râpé (facultatif) : 30 g ; Poivre : 1 g ; Sel : 0 g</t>
  </si>
  <si>
    <t xml:space="preserve">Vendredi — 20. One pot pasta chorizo-basilic — 30 min (annoncé) — ≈ 25 min</t>
  </si>
  <si>
    <t xml:space="preserve">Pâtes sèches (spaghetti ou linguine) : 250 g ; Eau : 600 ml ; Tomates cerises : 150 g ; Oignon : 100 g ; Ail : 6 g ; Huile d'olive : 16 ml ; Chorizo : 150 g ; Basilic frais : 6 g ; Parmesan râpé (optionnel) : 20 g ; Sel : 2 g ; Poivre : 1 g</t>
  </si>
  <si>
    <t xml:space="preserve">Semaine 6 — total 54.84 € (marge 0.16 €) — retrait Chronodrive le dimanche</t>
  </si>
  <si>
    <t xml:space="preserve">Pizza : Auchan Pizza chorizo-poivrons 390 g</t>
  </si>
  <si>
    <t xml:space="preserve">Portion 2 de : Pâtes au pesto rosso et au poulet (+ parmesan)</t>
  </si>
  <si>
    <t xml:space="preserve">½ Auchan Paëlla poulet-crevettes-chorizo 900 g</t>
  </si>
  <si>
    <t xml:space="preserve">3</t>
  </si>
  <si>
    <t xml:space="preserve">3, 8</t>
  </si>
  <si>
    <t xml:space="preserve">3, 12</t>
  </si>
  <si>
    <t xml:space="preserve">8</t>
  </si>
  <si>
    <t xml:space="preserve">12, 22</t>
  </si>
  <si>
    <t xml:space="preserve">1, 8</t>
  </si>
  <si>
    <t xml:space="preserve">Auchan Tavola pesto rosso 185 g</t>
  </si>
  <si>
    <t xml:space="preserve">1, 8, 12, 22</t>
  </si>
  <si>
    <t xml:space="preserve">1, 3, 8, 12, 22</t>
  </si>
  <si>
    <t xml:space="preserve">Mardi — 8. Pâtes au pesto rosso et au poulet (+ parmesan) — 20 min (5 + 15)</t>
  </si>
  <si>
    <t xml:space="preserve">Farfalle (ou autres pâtes courtes) : 250 g ; Filet de poulet : 200 g ; Crème fraîche : 30 ml ; Pesto rosso (pot) : 100 ml ; Parmesan râpé : 60 g ; Huile : 10 ml ; Sel : 2 g ; Poivre : 1 g</t>
  </si>
  <si>
    <t xml:space="preserve">Mercredi — 12. Ravioli poêlés à la tomate et mozzarella — 15 min</t>
  </si>
  <si>
    <t xml:space="preserve">Jeudi — 22. Frittata d'été aux courgettes et mozzarella filante (+ pain) — 20 min</t>
  </si>
  <si>
    <t xml:space="preserve">Vendredi — 1. Poulet au curry, lait de coco et noix de cajou + riz — 25 min (10 + 15)</t>
  </si>
  <si>
    <t xml:space="preserve">Semaine 7 — total 66.70 € (marge -11.70 €) — retrait Chronodrive le dimanche</t>
  </si>
  <si>
    <t xml:space="preserve">Pizza : Ristorante margherita 355 g</t>
  </si>
  <si>
    <t xml:space="preserve">Portion 2 de : Raviolis frais à la sauce tomate-crème (poivron, épices)</t>
  </si>
  <si>
    <t xml:space="preserve">20 min en cuisine (30 min à table) — 2 portions</t>
  </si>
  <si>
    <t xml:space="preserve">Portion 2 de : Chakchouka au chèvre frais &amp; pains pita</t>
  </si>
  <si>
    <t xml:space="preserve">½ Bonduelle Poêlée gnocchi-épinards 750 g</t>
  </si>
  <si>
    <t xml:space="preserve">Auchan fromage de chèvre frais 200 g</t>
  </si>
  <si>
    <t xml:space="preserve">18</t>
  </si>
  <si>
    <t xml:space="preserve">11, 14</t>
  </si>
  <si>
    <t xml:space="preserve">11, 13, 14, 20</t>
  </si>
  <si>
    <t xml:space="preserve">11</t>
  </si>
  <si>
    <t xml:space="preserve">11, 13, 14, 18, 20</t>
  </si>
  <si>
    <t xml:space="preserve">11, 18</t>
  </si>
  <si>
    <t xml:space="preserve">La Boulangère pain kebab 4 pièces 320 g</t>
  </si>
  <si>
    <t xml:space="preserve">11, 13, 20</t>
  </si>
  <si>
    <t xml:space="preserve">11, 20</t>
  </si>
  <si>
    <t xml:space="preserve">Lundi — 11. Raviolis frais à la sauce tomate-crème (poivron, épices) — 25 min (10 + 15)</t>
  </si>
  <si>
    <t xml:space="preserve">Raviolis frais (3 fromages ou ricotta-épinards) : 500 g ; Oignon (ou échalote) : 60 g ; Huile d'olive : 20 ml ; Poivron vert (ou rouge) : 80 g ; Pulpe de tomate (boîte) : 200 g ; Ail : 6 g ; Persil (frais ou séché) : 2 g ; Paprika doux : 2 g ; Coriandre en poudre : 2 g ; Basilic (frais ou séché) : 2 g ; Thym : 1 g ; Laurier : 1 g ; Crème liquide entière : 100 ml ; Eau : 60 ml ; Parmesan râpé (finition) : 30 g ; Sel : 2 g ; Poivre : 1 g</t>
  </si>
  <si>
    <t xml:space="preserve">Mardi — 13. Tortellini aux champignons, sauce crème-parmesan — 20 min (8 + 12)</t>
  </si>
  <si>
    <t xml:space="preserve">Mercredi — 18. Chakchouka au chèvre frais &amp; pains pita — 20 min en cuisine (30 min à table)</t>
  </si>
  <si>
    <t xml:space="preserve">Œufs : 220 g ; Fromage de chèvre frais (ou feta) : 80 g ; Pains pita : 260 g ; Poivron rouge : 150 g ; Tomates pelées en boîte (avec jus) : 200 g ; Oignon jaune : 100 g ; Origan séché : 1 g ; Coriandre en poudre : 1 g ; Huile d'olive : 16 ml ; Sucre : 1 g ; Sel : 1 g ; Poivre : 1 g</t>
  </si>
  <si>
    <t xml:space="preserve">Semaine 8 — total 53.51 € (marge 1.49 €) — retrait Chronodrive le dimanche</t>
  </si>
  <si>
    <t xml:space="preserve">Pizza : Auchan Pizza poulet barbecue 390 g</t>
  </si>
  <si>
    <t xml:space="preserve">Portion 2 de : Hachis parmentier rapide (purée en flocons)</t>
  </si>
  <si>
    <t xml:space="preserve">½ Auchan Poêlée campagnarde 900 g</t>
  </si>
  <si>
    <t xml:space="preserve">7, 8</t>
  </si>
  <si>
    <t xml:space="preserve">2, 4, 7</t>
  </si>
  <si>
    <t xml:space="preserve">8, 23</t>
  </si>
  <si>
    <t xml:space="preserve">2, 4</t>
  </si>
  <si>
    <t xml:space="preserve">Auchan haché viande bovine 400 g</t>
  </si>
  <si>
    <t xml:space="preserve">4</t>
  </si>
  <si>
    <t xml:space="preserve">Auchan purée en flocons 4 x 125 g</t>
  </si>
  <si>
    <t xml:space="preserve">4, 7, 8</t>
  </si>
  <si>
    <t xml:space="preserve">2, 4, 7, 8, 23</t>
  </si>
  <si>
    <t xml:space="preserve">Lundi — 4. Hachis parmentier rapide (purée en flocons) — 30 min (10 + 20)</t>
  </si>
  <si>
    <t xml:space="preserve">Steak haché / viande hachée de bœuf : 300 g ; Oignon : 140 g ; Tomate : 80 g ; Huile d'olive : 20 ml ; Purée en flocons (sèche) : 120 g ; Lait : 200 ml ; Eau : 400 ml ; Fromage râpé : 50 g ; Persillade (ail + persil séchés) : 4 g ; Sel : 2 g ; Poivre : 1 g</t>
  </si>
  <si>
    <t xml:space="preserve">Mercredi — 8. Pâtes au pesto rosso et au poulet (+ parmesan) — 20 min (5 + 15)</t>
  </si>
  <si>
    <t xml:space="preserve">Jeudi — 23. Pâtes pesto caprese (boule de mozzarella, tomates cerises) — 15 min (5 + 10)</t>
  </si>
  <si>
    <t xml:space="preserve">Semaine 9 — total 69.24 € (marge -14.24 €) — retrait Chronodrive le dimanche</t>
  </si>
  <si>
    <t xml:space="preserve">35 min adaptées (10 + 25) — 2 portions</t>
  </si>
  <si>
    <t xml:space="preserve">Portion 2 de : Poulet à la crème et aux champignons + spaghetti</t>
  </si>
  <si>
    <t xml:space="preserve">30 min — 2 portions</t>
  </si>
  <si>
    <t xml:space="preserve">Portion 2 de : Poulet basquaise et son riz</t>
  </si>
  <si>
    <t xml:space="preserve">½ Bonduelle Poêlée gnocchi-tomate 750 g</t>
  </si>
  <si>
    <t xml:space="preserve">6</t>
  </si>
  <si>
    <t xml:space="preserve">11, 19</t>
  </si>
  <si>
    <t xml:space="preserve">6, 11, 17, 18, 19</t>
  </si>
  <si>
    <t xml:space="preserve">11, 17, 18</t>
  </si>
  <si>
    <t xml:space="preserve">DUC filets de poulet blanc 720 g</t>
  </si>
  <si>
    <t xml:space="preserve">6, 17</t>
  </si>
  <si>
    <t xml:space="preserve">Auchan pulpe de tomates 3 x 400 g</t>
  </si>
  <si>
    <t xml:space="preserve">17</t>
  </si>
  <si>
    <t xml:space="preserve">6, 19</t>
  </si>
  <si>
    <t xml:space="preserve">6, 11, 17</t>
  </si>
  <si>
    <t xml:space="preserve">6, 11, 17, 18</t>
  </si>
  <si>
    <t xml:space="preserve">18, 19</t>
  </si>
  <si>
    <t xml:space="preserve">11, 17</t>
  </si>
  <si>
    <t xml:space="preserve">6, 11</t>
  </si>
  <si>
    <t xml:space="preserve">Lundi — 6. Poulet à la crème et aux champignons + spaghetti — 35 min adaptées (10 + 25)</t>
  </si>
  <si>
    <t xml:space="preserve">Cuisse de poulet (ou 150 g de filet) : 300 g ; Oignon : 60 g ; Ail : 6 g ; Crème fraîche épaisse : 120 g ; Champignons de Paris en boîte (égouttés, jus gardé) : 120 g ; Farine : 10 g ; Fond de volaille déshydraté (ou ½ cube) : 10 g ; Persil (frais ou séché) : 2 g ; Eau : 200 ml ; Huile : 20 ml ; Spaghetti (remplace les tagliatelles) : 200 g ; Sel : 2 g ; Poivre : 1 g</t>
  </si>
  <si>
    <t xml:space="preserve">Mardi — 11. Raviolis frais à la sauce tomate-crème (poivron, épices) — 25 min (10 + 15)</t>
  </si>
  <si>
    <t xml:space="preserve">Mercredi — 17. Poulet basquaise et son riz — 30 min</t>
  </si>
  <si>
    <t xml:space="preserve">Poulet (filet, aiguillettes ou cuisse désossée) : 300 g ; Pulpe de tomate concassée (remplace les tomates) : 400 g ; Poivron rouge : 80 g ; Poivron vert : 40 g ; Oignon : 60 g ; Ail : 6 g ; Piment d'Espelette (ou paprika + pincée de piment) : 2 g ; Riz long cru : 180 g ; Beurre : 20 g ; Huile d'olive : 20 ml ; Sel : 2 g ; Poivre : 1 g</t>
  </si>
  <si>
    <t xml:space="preserve">Jeudi — 18. Chakchouka au chèvre frais &amp; pains pita — 20 min en cuisine (30 min à table)</t>
  </si>
  <si>
    <t xml:space="preserve">Vendredi — 19. Pâtes crémeuses au chèvre, miel et lardons — 15 min</t>
  </si>
  <si>
    <t xml:space="preserve">Rayon préparé / surgelé Chronodrive Compiègne (02/09/2026) — hors Sodebo — à permuter librement, tant que la semaine reste ≤ 55 €</t>
  </si>
  <si>
    <t xml:space="preserve">Type</t>
  </si>
  <si>
    <t xml:space="preserve">Produit</t>
  </si>
  <si>
    <t xml:space="preserve">Poids</t>
  </si>
  <si>
    <t xml:space="preserve">Prix €</t>
  </si>
  <si>
    <t xml:space="preserve">Prix / kg</t>
  </si>
  <si>
    <t xml:space="preserve">Repas couverts</t>
  </si>
  <si>
    <t xml:space="preserve">Prix / repas €</t>
  </si>
  <si>
    <t xml:space="preserve">Plat cuisiné surgelé</t>
  </si>
  <si>
    <t xml:space="preserve">Bonduelle Poêlée fusilli courgettes-fromage 750 g</t>
  </si>
  <si>
    <t xml:space="preserve">Marie Fusilli poulet-champignons 900 g</t>
  </si>
  <si>
    <t xml:space="preserve">Marie Risotto au poulet 900 g</t>
  </si>
  <si>
    <t xml:space="preserve">Marie Hachis parmentier 1 kg</t>
  </si>
  <si>
    <t xml:space="preserve">Auchan Lasagnes bolognaise 450 g</t>
  </si>
  <si>
    <t xml:space="preserve">Marie CroustiMoelleuse jambon-fromages 3 x 400 g (1,96 €/pizza)</t>
  </si>
  <si>
    <t xml:space="preserve">Ristorante 4 fromages 3 x 340 g Prix Choc (1,96 €/pizza)</t>
  </si>
  <si>
    <t xml:space="preserve">Auchan Feu de bois chèvre-lardons-crème 400 g</t>
  </si>
  <si>
    <t xml:space="preserve">Marie jambon-fromage à partager 500 g (frais)</t>
  </si>
  <si>
    <t xml:space="preserve">Auchan Kit pizza rectangulaire 600 g à garnir</t>
  </si>
  <si>
    <t xml:space="preserve">Génération : les 26 334 combinaisons de 5 recettes parmi 22 ont été évaluées ; 16 378 respectent la variété (≥ 4 protéines et ≥ 4 féculents différents, jamais deux fois la même base, pas R11 + R12 ensemble) et le budget (≤ 55 € avec un week-end au pire à 7,60 €).</t>
  </si>
  <si>
    <t xml:space="preserve">Coût d'une semaine = somme des formats ENTIERS achetés (meilleure combinaison de formats par produit : prix mini puis reste mini) + placard/bases au PRIX PLEIN du format (huile, chaque épice, farine, moutarde, miel, cubes, soja, ail, sel, sucre, vinaigre, beurre : comptés comme si tu devais les racheter) + plat 900 g + pizza. La sélection des 8 semaines a été faite avec le placard au pro-rata ; le passage au prix plein n'a pas changé la sélection, seuls les totaux ont été recalculés.</t>
  </si>
  <si>
    <t xml:space="preserve">Score d'une semaine = coût + 2 x gâchis + 0,3 x stock. Gâchis = valeur du reste des produits périssables (viande, charcuterie, fromages frais, pâtes fraîches, légumes, pain), pondérée par leur durée de vie ; stock = reste des produits secs/conserves (riz, pâtes, boîtes, UHT), que tu gères à la main.</t>
  </si>
  <si>
    <t xml:space="preserve">Sélection : 8 semaines par ordre de score, avec chaque recette au maximum 2 fois sur les 8 et aucune recette commune à deux semaines consécutives. 9e semaine impossible sans passer une recette à 3 utilisations (4, 6, 17 et 18 ne sont utilisées qu'une fois : hachis, poulet-crème, basquaise, chakchouka).</t>
  </si>
  <si>
    <t xml:space="preserve">Ordre dans la semaine : les recettes à viande/poisson frais et DLC courte (échine, haché, jambon, pâtes fraîches) sont placées lundi-mardi, les recettes 100 % placard (carbonara, one-pot, saucisses-lentilles, risotto) en fin de semaine.</t>
  </si>
  <si>
    <t xml:space="preserve">Week-end : rotation sur 8 plats 900 g et 8 pizzas différents (hors Sodebo) ; 2 articles au congélateur maximum. Tu peux permuter avec n'importe quelle ligne de l'onglet Options week-end tant que le total reste ≤ 55 €.</t>
  </si>
  <si>
    <t xml:space="preserve">Substitutions v3 appliquées partout (onglet Recettes v3) : échine à la place du filet mignon, ravioli Auchan à la place des ravioles, spaghetti à la place des tagliatelles, pulpe à la place des tomates/coulis, emmental à la place de cheddar/gouda, crème épaisse à la place du mascarpone et du lait, olives supprimées.</t>
  </si>
  <si>
    <t xml:space="preserve">Semaine 0 (une fois) : placard épices ≈ 17 € + huile 2,15 € + farine 0,95 € + moutarde 1,85 € + miel 2,15 € + cubes 1,79 € + soja 1,69 € + ail semoule 1,29 € + vinaigre 1,09 € + beurre 2,45 € ≈ 32 €, hors budget hebdo.</t>
  </si>
  <si>
    <t xml:space="preserve">Mise à jour du 12/10/2026 : ajout de R23 (pâtes pesto caprese, 1 boule de mozzarella par portion) et R24 (pâtes sauce tomate-basilic, mozzarella fondante, parmesan). 24 recettes → 9 semaines (chaque recette ≤ 2 fois, jamais deux semaines de suite, R23 et R24 jamais ensemble, max 2 recettes de pâtes par semaine). S1 est conservée telle quelle (panier déjà constitué).</t>
  </si>
  <si>
    <t xml:space="preserve">Pesto vert et sauce tomate-basilic : prix Chronodrive non relevés (pesto rosso Auchan 1,99 € pris comme référence ; sauce 420 g estimée 1,29 €). Relevés Carrefour hypermarché Bomerée du 12/10 : pesto verde Classic' 190 g 1,49 €, sauce tomates-basilic Classic' 420 g 1,39 €, mozzarella Galbani 125 g 1,19 €, Simpl 200 g 0,69 €, tomates cerises 400 g 1,25 €, pâtes Simpl 500 g 0,47 €, parmesan Parmareggio 60 g 2,85 €, râpé Spécial Pasta 200 g 1,99 €.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</si>
</sst>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"/>
    <numFmt numFmtId="168" formatCode="0%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4" min="3" style="0" width="34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1" min="10" style="0" width="12"/>
    <col collapsed="false" customWidth="true" hidden="false" outlineLevel="0" max="12" min="12" style="0" width="10"/>
    <col collapsed="false" customWidth="true" hidden="false" outlineLevel="0" max="15" min="13" style="0" width="9"/>
  </cols>
  <sheetData>
    <row r="1" customFormat="false" ht="16.15" hidden="false" customHeight="false" outlineLevel="0" collapsed="false">
      <c r="A1" s="1" t="s">
        <v>0</v>
      </c>
    </row>
    <row r="2" customFormat="false" ht="6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45" hidden="false" customHeight="true" outlineLevel="0" collapsed="false">
      <c r="A5" s="4" t="s">
        <v>17</v>
      </c>
      <c r="B5" s="5" t="s">
        <v>18</v>
      </c>
      <c r="C5" s="4" t="s">
        <v>19</v>
      </c>
      <c r="D5" s="4" t="s">
        <v>20</v>
      </c>
      <c r="E5" s="6" t="n">
        <v>28.03</v>
      </c>
      <c r="F5" s="6" t="n">
        <v>12.73</v>
      </c>
      <c r="G5" s="6" t="n">
        <v>6.9</v>
      </c>
      <c r="H5" s="6" t="n">
        <v>47.66</v>
      </c>
      <c r="I5" s="6" t="n">
        <v>7.34</v>
      </c>
      <c r="J5" s="6" t="n">
        <v>2.14512737300436</v>
      </c>
      <c r="K5" s="6" t="n">
        <v>6.78342843910806</v>
      </c>
      <c r="L5" s="4" t="n">
        <f aca="false">ROUND(AVERAGE(Nutrition!H71,Nutrition!H135,Nutrition!H148,Nutrition!H235,Nutrition!H253),0)</f>
        <v>813</v>
      </c>
      <c r="M5" s="7" t="n">
        <f aca="false">AVERAGE(Nutrition!I71,Nutrition!I135,Nutrition!I148,Nutrition!I235,Nutrition!I253)</f>
        <v>35.598</v>
      </c>
      <c r="N5" s="7" t="n">
        <f aca="false">AVERAGE(Nutrition!J71,Nutrition!J135,Nutrition!J148,Nutrition!J235,Nutrition!J253)</f>
        <v>78.371</v>
      </c>
      <c r="O5" s="7" t="n">
        <f aca="false">AVERAGE(Nutrition!K71,Nutrition!K135,Nutrition!K148,Nutrition!K235,Nutrition!K253)</f>
        <v>38.627</v>
      </c>
    </row>
    <row r="6" customFormat="false" ht="45" hidden="false" customHeight="true" outlineLevel="0" collapsed="false">
      <c r="A6" s="4" t="s">
        <v>21</v>
      </c>
      <c r="B6" s="5" t="s">
        <v>22</v>
      </c>
      <c r="C6" s="4" t="s">
        <v>23</v>
      </c>
      <c r="D6" s="4" t="s">
        <v>24</v>
      </c>
      <c r="E6" s="6" t="n">
        <v>29.93</v>
      </c>
      <c r="F6" s="6" t="n">
        <v>7.62</v>
      </c>
      <c r="G6" s="6" t="n">
        <v>7.54</v>
      </c>
      <c r="H6" s="6" t="n">
        <v>45.09</v>
      </c>
      <c r="I6" s="6" t="n">
        <v>9.91</v>
      </c>
      <c r="J6" s="6" t="n">
        <v>2.26857376395534</v>
      </c>
      <c r="K6" s="6" t="n">
        <v>5.11771858054227</v>
      </c>
      <c r="L6" s="4" t="n">
        <f aca="false">ROUND(AVERAGE(Nutrition!H29,Nutrition!H41,Nutrition!H339,Nutrition!H356,Nutrition!H382),0)</f>
        <v>771</v>
      </c>
      <c r="M6" s="7" t="n">
        <f aca="false">AVERAGE(Nutrition!I29,Nutrition!I41,Nutrition!I339,Nutrition!I356,Nutrition!I382)</f>
        <v>36.252</v>
      </c>
      <c r="N6" s="7" t="n">
        <f aca="false">AVERAGE(Nutrition!J29,Nutrition!J41,Nutrition!J339,Nutrition!J356,Nutrition!J382)</f>
        <v>82.123</v>
      </c>
      <c r="O6" s="7" t="n">
        <f aca="false">AVERAGE(Nutrition!K29,Nutrition!K41,Nutrition!K339,Nutrition!K356,Nutrition!K382)</f>
        <v>31.778</v>
      </c>
    </row>
    <row r="7" customFormat="false" ht="45" hidden="false" customHeight="true" outlineLevel="0" collapsed="false">
      <c r="A7" s="4" t="s">
        <v>25</v>
      </c>
      <c r="B7" s="5" t="s">
        <v>26</v>
      </c>
      <c r="C7" s="4" t="s">
        <v>27</v>
      </c>
      <c r="D7" s="4" t="s">
        <v>28</v>
      </c>
      <c r="E7" s="6" t="n">
        <v>32.22</v>
      </c>
      <c r="F7" s="6" t="n">
        <v>14.63</v>
      </c>
      <c r="G7" s="6" t="n">
        <v>8.28</v>
      </c>
      <c r="H7" s="8" t="n">
        <v>55.13</v>
      </c>
      <c r="I7" s="6" t="n">
        <v>-0.129999999999996</v>
      </c>
      <c r="J7" s="6" t="n">
        <v>2.41490025740026</v>
      </c>
      <c r="K7" s="6" t="n">
        <v>4.55821454311454</v>
      </c>
      <c r="L7" s="4" t="n">
        <f aca="false">ROUND(AVERAGE(Nutrition!H15,Nutrition!H105,Nutrition!H148,Nutrition!H186,Nutrition!H369),0)</f>
        <v>933</v>
      </c>
      <c r="M7" s="7" t="n">
        <f aca="false">AVERAGE(Nutrition!I15,Nutrition!I105,Nutrition!I148,Nutrition!I186,Nutrition!I369)</f>
        <v>40.96</v>
      </c>
      <c r="N7" s="7" t="n">
        <f aca="false">AVERAGE(Nutrition!J15,Nutrition!J105,Nutrition!J148,Nutrition!J186,Nutrition!J369)</f>
        <v>77.294</v>
      </c>
      <c r="O7" s="7" t="n">
        <f aca="false">AVERAGE(Nutrition!K15,Nutrition!K105,Nutrition!K148,Nutrition!K186,Nutrition!K369)</f>
        <v>49.991</v>
      </c>
    </row>
    <row r="8" customFormat="false" ht="45" hidden="false" customHeight="true" outlineLevel="0" collapsed="false">
      <c r="A8" s="4" t="s">
        <v>29</v>
      </c>
      <c r="B8" s="5" t="s">
        <v>30</v>
      </c>
      <c r="C8" s="4" t="s">
        <v>31</v>
      </c>
      <c r="D8" s="4" t="s">
        <v>32</v>
      </c>
      <c r="E8" s="6" t="n">
        <v>27.13</v>
      </c>
      <c r="F8" s="6" t="n">
        <v>14.92</v>
      </c>
      <c r="G8" s="6" t="n">
        <v>7</v>
      </c>
      <c r="H8" s="6" t="n">
        <v>49.05</v>
      </c>
      <c r="I8" s="6" t="n">
        <v>5.95</v>
      </c>
      <c r="J8" s="6" t="n">
        <v>2.6259318174488</v>
      </c>
      <c r="K8" s="6" t="n">
        <v>5.87237651991614</v>
      </c>
      <c r="L8" s="4" t="n">
        <f aca="false">ROUND(AVERAGE(Nutrition!H135,Nutrition!H235,Nutrition!H253,Nutrition!H304,Nutrition!H382),0)</f>
        <v>799</v>
      </c>
      <c r="M8" s="7" t="n">
        <f aca="false">AVERAGE(Nutrition!I135,Nutrition!I235,Nutrition!I253,Nutrition!I304,Nutrition!I382)</f>
        <v>35.179</v>
      </c>
      <c r="N8" s="7" t="n">
        <f aca="false">AVERAGE(Nutrition!J135,Nutrition!J235,Nutrition!J253,Nutrition!J304,Nutrition!J382)</f>
        <v>83.754</v>
      </c>
      <c r="O8" s="7" t="n">
        <f aca="false">AVERAGE(Nutrition!K135,Nutrition!K235,Nutrition!K253,Nutrition!K304,Nutrition!K382)</f>
        <v>34.877</v>
      </c>
    </row>
    <row r="9" customFormat="false" ht="45" hidden="false" customHeight="true" outlineLevel="0" collapsed="false">
      <c r="A9" s="4" t="s">
        <v>33</v>
      </c>
      <c r="B9" s="5" t="s">
        <v>34</v>
      </c>
      <c r="C9" s="4" t="s">
        <v>35</v>
      </c>
      <c r="D9" s="4" t="s">
        <v>36</v>
      </c>
      <c r="E9" s="6" t="n">
        <v>30.64</v>
      </c>
      <c r="F9" s="6" t="n">
        <v>12.78</v>
      </c>
      <c r="G9" s="6" t="n">
        <v>7.2</v>
      </c>
      <c r="H9" s="6" t="n">
        <v>50.62</v>
      </c>
      <c r="I9" s="6" t="n">
        <v>4.38</v>
      </c>
      <c r="J9" s="6" t="n">
        <v>3.12230489702517</v>
      </c>
      <c r="K9" s="6" t="n">
        <v>6.83266373205742</v>
      </c>
      <c r="L9" s="4" t="n">
        <f aca="false">ROUND(AVERAGE(Nutrition!H71,Nutrition!H204,Nutrition!H221,Nutrition!H321,Nutrition!H339),0)</f>
        <v>878</v>
      </c>
      <c r="M9" s="7" t="n">
        <f aca="false">AVERAGE(Nutrition!I71,Nutrition!I204,Nutrition!I221,Nutrition!I321,Nutrition!I339)</f>
        <v>33.655</v>
      </c>
      <c r="N9" s="7" t="n">
        <f aca="false">AVERAGE(Nutrition!J71,Nutrition!J204,Nutrition!J221,Nutrition!J321,Nutrition!J339)</f>
        <v>98.615</v>
      </c>
      <c r="O9" s="7" t="n">
        <f aca="false">AVERAGE(Nutrition!K71,Nutrition!K204,Nutrition!K221,Nutrition!K321,Nutrition!K339)</f>
        <v>37.593</v>
      </c>
    </row>
    <row r="10" customFormat="false" ht="45" hidden="false" customHeight="true" outlineLevel="0" collapsed="false">
      <c r="A10" s="4" t="s">
        <v>37</v>
      </c>
      <c r="B10" s="5" t="s">
        <v>38</v>
      </c>
      <c r="C10" s="4" t="s">
        <v>39</v>
      </c>
      <c r="D10" s="4" t="s">
        <v>40</v>
      </c>
      <c r="E10" s="6" t="n">
        <v>34.38</v>
      </c>
      <c r="F10" s="6" t="n">
        <v>12.42</v>
      </c>
      <c r="G10" s="6" t="n">
        <v>8.04</v>
      </c>
      <c r="H10" s="6" t="n">
        <v>54.84</v>
      </c>
      <c r="I10" s="6" t="n">
        <v>0.160000000000004</v>
      </c>
      <c r="J10" s="6" t="n">
        <v>3.71177936162936</v>
      </c>
      <c r="K10" s="6" t="n">
        <v>4.59795718380719</v>
      </c>
      <c r="L10" s="4" t="n">
        <f aca="false">ROUND(AVERAGE(Nutrition!H15,Nutrition!H41,Nutrition!H119,Nutrition!H186,Nutrition!H356),0)</f>
        <v>843</v>
      </c>
      <c r="M10" s="7" t="n">
        <f aca="false">AVERAGE(Nutrition!I15,Nutrition!I41,Nutrition!I119,Nutrition!I186,Nutrition!I356)</f>
        <v>42.508</v>
      </c>
      <c r="N10" s="7" t="n">
        <f aca="false">AVERAGE(Nutrition!J15,Nutrition!J41,Nutrition!J119,Nutrition!J186,Nutrition!J356)</f>
        <v>76.049</v>
      </c>
      <c r="O10" s="7" t="n">
        <f aca="false">AVERAGE(Nutrition!K15,Nutrition!K41,Nutrition!K119,Nutrition!K186,Nutrition!K356)</f>
        <v>39.597</v>
      </c>
    </row>
    <row r="11" customFormat="false" ht="45" hidden="false" customHeight="true" outlineLevel="0" collapsed="false">
      <c r="A11" s="4" t="s">
        <v>41</v>
      </c>
      <c r="B11" s="5" t="s">
        <v>42</v>
      </c>
      <c r="C11" s="4" t="s">
        <v>43</v>
      </c>
      <c r="D11" s="4" t="s">
        <v>44</v>
      </c>
      <c r="E11" s="6" t="n">
        <v>34.04</v>
      </c>
      <c r="F11" s="6" t="n">
        <v>25.62</v>
      </c>
      <c r="G11" s="6" t="n">
        <v>7.04</v>
      </c>
      <c r="H11" s="8" t="n">
        <v>66.7</v>
      </c>
      <c r="I11" s="6" t="n">
        <v>-11.7</v>
      </c>
      <c r="J11" s="6" t="n">
        <v>4.66538257246377</v>
      </c>
      <c r="K11" s="6" t="n">
        <v>5.27496416666667</v>
      </c>
      <c r="L11" s="4" t="n">
        <f aca="false">ROUND(AVERAGE(Nutrition!H171,Nutrition!H204,Nutrition!H221,Nutrition!H289,Nutrition!H321),0)</f>
        <v>893</v>
      </c>
      <c r="M11" s="7" t="n">
        <f aca="false">AVERAGE(Nutrition!I171,Nutrition!I204,Nutrition!I221,Nutrition!I289,Nutrition!I321)</f>
        <v>33.821</v>
      </c>
      <c r="N11" s="7" t="n">
        <f aca="false">AVERAGE(Nutrition!J171,Nutrition!J204,Nutrition!J221,Nutrition!J289,Nutrition!J321)</f>
        <v>94.804</v>
      </c>
      <c r="O11" s="7" t="n">
        <f aca="false">AVERAGE(Nutrition!K171,Nutrition!K204,Nutrition!K221,Nutrition!K289,Nutrition!K321)</f>
        <v>40.819</v>
      </c>
    </row>
    <row r="12" customFormat="false" ht="45" hidden="false" customHeight="true" outlineLevel="0" collapsed="false">
      <c r="A12" s="4" t="s">
        <v>45</v>
      </c>
      <c r="B12" s="5" t="s">
        <v>46</v>
      </c>
      <c r="C12" s="4" t="s">
        <v>47</v>
      </c>
      <c r="D12" s="4" t="s">
        <v>48</v>
      </c>
      <c r="E12" s="6" t="n">
        <v>39.93</v>
      </c>
      <c r="F12" s="6" t="n">
        <v>5.64</v>
      </c>
      <c r="G12" s="6" t="n">
        <v>7.94</v>
      </c>
      <c r="H12" s="6" t="n">
        <v>53.51</v>
      </c>
      <c r="I12" s="6" t="n">
        <v>1.49</v>
      </c>
      <c r="J12" s="6" t="n">
        <v>4.92974663201663</v>
      </c>
      <c r="K12" s="6" t="n">
        <v>6.60222765765766</v>
      </c>
      <c r="L12" s="4" t="n">
        <f aca="false">ROUND(AVERAGE(Nutrition!H29,Nutrition!H58,Nutrition!H105,Nutrition!H119,Nutrition!H369),0)</f>
        <v>903</v>
      </c>
      <c r="M12" s="7" t="n">
        <f aca="false">AVERAGE(Nutrition!I29,Nutrition!I58,Nutrition!I105,Nutrition!I119,Nutrition!I369)</f>
        <v>40.615</v>
      </c>
      <c r="N12" s="7" t="n">
        <f aca="false">AVERAGE(Nutrition!J29,Nutrition!J58,Nutrition!J105,Nutrition!J119,Nutrition!J369)</f>
        <v>77.009</v>
      </c>
      <c r="O12" s="7" t="n">
        <f aca="false">AVERAGE(Nutrition!K29,Nutrition!K58,Nutrition!K105,Nutrition!K119,Nutrition!K369)</f>
        <v>47.476</v>
      </c>
    </row>
    <row r="13" customFormat="false" ht="45" hidden="false" customHeight="true" outlineLevel="0" collapsed="false">
      <c r="A13" s="4" t="s">
        <v>49</v>
      </c>
      <c r="B13" s="5" t="s">
        <v>50</v>
      </c>
      <c r="C13" s="4" t="s">
        <v>51</v>
      </c>
      <c r="D13" s="4" t="s">
        <v>20</v>
      </c>
      <c r="E13" s="6" t="n">
        <v>37.18</v>
      </c>
      <c r="F13" s="6" t="n">
        <v>25.92</v>
      </c>
      <c r="G13" s="6" t="n">
        <v>6.14</v>
      </c>
      <c r="H13" s="8" t="n">
        <v>69.24</v>
      </c>
      <c r="I13" s="6" t="n">
        <v>-14.24</v>
      </c>
      <c r="J13" s="6" t="n">
        <v>6.18702513285024</v>
      </c>
      <c r="K13" s="6" t="n">
        <v>6.55317861111111</v>
      </c>
      <c r="L13" s="4" t="n">
        <f aca="false">ROUND(AVERAGE(Nutrition!H90,Nutrition!H171,Nutrition!H271,Nutrition!H289,Nutrition!H304),0)</f>
        <v>810</v>
      </c>
      <c r="M13" s="7" t="n">
        <f aca="false">AVERAGE(Nutrition!I90,Nutrition!I171,Nutrition!I271,Nutrition!I289,Nutrition!I304)</f>
        <v>39.574</v>
      </c>
      <c r="N13" s="7" t="n">
        <f aca="false">AVERAGE(Nutrition!J90,Nutrition!J171,Nutrition!J271,Nutrition!J289,Nutrition!J304)</f>
        <v>89.92</v>
      </c>
      <c r="O13" s="7" t="n">
        <f aca="false">AVERAGE(Nutrition!K90,Nutrition!K171,Nutrition!K271,Nutrition!K289,Nutrition!K304)</f>
        <v>31.424</v>
      </c>
    </row>
  </sheetData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52</v>
      </c>
    </row>
    <row r="3" customFormat="false" ht="16.15" hidden="false" customHeight="false" outlineLevel="0" collapsed="false">
      <c r="A3" s="1" t="s">
        <v>53</v>
      </c>
    </row>
    <row r="4" customFormat="false" ht="26.85" hidden="false" customHeight="true" outlineLevel="0" collapsed="false">
      <c r="A4" s="9" t="s">
        <v>54</v>
      </c>
      <c r="B4" s="5" t="s">
        <v>55</v>
      </c>
      <c r="C4" s="5"/>
      <c r="D4" s="5"/>
      <c r="E4" s="5"/>
      <c r="F4" s="5"/>
    </row>
    <row r="5" customFormat="false" ht="15" hidden="false" customHeight="true" outlineLevel="0" collapsed="false">
      <c r="A5" s="9" t="s">
        <v>56</v>
      </c>
      <c r="B5" s="5" t="s">
        <v>57</v>
      </c>
      <c r="C5" s="5"/>
      <c r="D5" s="5"/>
      <c r="E5" s="5"/>
      <c r="F5" s="5"/>
    </row>
    <row r="6" customFormat="false" ht="15" hidden="false" customHeight="true" outlineLevel="0" collapsed="false">
      <c r="A6" s="9" t="s">
        <v>58</v>
      </c>
      <c r="B6" s="5" t="s">
        <v>59</v>
      </c>
      <c r="C6" s="5"/>
      <c r="D6" s="5"/>
      <c r="E6" s="5"/>
      <c r="F6" s="5"/>
    </row>
    <row r="7" customFormat="false" ht="15" hidden="false" customHeight="true" outlineLevel="0" collapsed="false">
      <c r="A7" s="9" t="s">
        <v>60</v>
      </c>
      <c r="B7" s="5" t="s">
        <v>61</v>
      </c>
      <c r="C7" s="5"/>
      <c r="D7" s="5"/>
      <c r="E7" s="5"/>
      <c r="F7" s="5"/>
    </row>
    <row r="8" customFormat="false" ht="15" hidden="false" customHeight="false" outlineLevel="0" collapsed="false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</row>
    <row r="9" customFormat="false" ht="15" hidden="false" customHeight="false" outlineLevel="0" collapsed="false">
      <c r="A9" s="5" t="s">
        <v>68</v>
      </c>
      <c r="B9" s="4" t="n">
        <v>260</v>
      </c>
      <c r="C9" s="4" t="s">
        <v>69</v>
      </c>
      <c r="D9" s="4" t="s">
        <v>70</v>
      </c>
      <c r="E9" s="4" t="s">
        <v>71</v>
      </c>
      <c r="F9" s="4" t="s">
        <v>72</v>
      </c>
    </row>
    <row r="10" customFormat="false" ht="15" hidden="false" customHeight="false" outlineLevel="0" collapsed="false">
      <c r="A10" s="5" t="s">
        <v>73</v>
      </c>
      <c r="B10" s="4" t="n">
        <v>200</v>
      </c>
      <c r="C10" s="4" t="s">
        <v>74</v>
      </c>
      <c r="D10" s="4" t="s">
        <v>75</v>
      </c>
      <c r="E10" s="4" t="s">
        <v>73</v>
      </c>
      <c r="F10" s="4" t="s">
        <v>72</v>
      </c>
    </row>
    <row r="11" customFormat="false" ht="15" hidden="false" customHeight="false" outlineLevel="0" collapsed="false">
      <c r="A11" s="5" t="s">
        <v>76</v>
      </c>
      <c r="B11" s="4" t="n">
        <v>4</v>
      </c>
      <c r="C11" s="4" t="s">
        <v>69</v>
      </c>
      <c r="D11" s="4" t="s">
        <v>77</v>
      </c>
      <c r="E11" s="4" t="s">
        <v>78</v>
      </c>
      <c r="F11" s="10" t="s">
        <v>79</v>
      </c>
    </row>
    <row r="12" customFormat="false" ht="15" hidden="false" customHeight="false" outlineLevel="0" collapsed="false">
      <c r="A12" s="5" t="s">
        <v>80</v>
      </c>
      <c r="B12" s="4" t="n">
        <v>10</v>
      </c>
      <c r="C12" s="4" t="s">
        <v>74</v>
      </c>
      <c r="D12" s="4" t="s">
        <v>81</v>
      </c>
      <c r="E12" s="4" t="s">
        <v>80</v>
      </c>
      <c r="F12" s="4" t="s">
        <v>72</v>
      </c>
    </row>
    <row r="13" customFormat="false" ht="15" hidden="false" customHeight="false" outlineLevel="0" collapsed="false">
      <c r="A13" s="5" t="s">
        <v>82</v>
      </c>
      <c r="B13" s="4" t="n">
        <v>40</v>
      </c>
      <c r="C13" s="4" t="s">
        <v>69</v>
      </c>
      <c r="D13" s="4" t="s">
        <v>83</v>
      </c>
      <c r="E13" s="4" t="s">
        <v>84</v>
      </c>
      <c r="F13" s="4" t="s">
        <v>72</v>
      </c>
    </row>
    <row r="14" customFormat="false" ht="15" hidden="false" customHeight="false" outlineLevel="0" collapsed="false">
      <c r="A14" s="5" t="s">
        <v>85</v>
      </c>
      <c r="B14" s="4" t="n">
        <v>10</v>
      </c>
      <c r="C14" s="4" t="s">
        <v>69</v>
      </c>
      <c r="D14" s="4" t="s">
        <v>86</v>
      </c>
      <c r="E14" s="4" t="s">
        <v>87</v>
      </c>
      <c r="F14" s="10" t="s">
        <v>79</v>
      </c>
    </row>
    <row r="15" customFormat="false" ht="15" hidden="false" customHeight="false" outlineLevel="0" collapsed="false">
      <c r="A15" s="5" t="s">
        <v>88</v>
      </c>
      <c r="B15" s="4" t="n">
        <v>30</v>
      </c>
      <c r="C15" s="4" t="s">
        <v>74</v>
      </c>
      <c r="D15" s="4" t="s">
        <v>89</v>
      </c>
      <c r="E15" s="4" t="s">
        <v>90</v>
      </c>
      <c r="F15" s="10" t="s">
        <v>79</v>
      </c>
    </row>
    <row r="16" customFormat="false" ht="15" hidden="false" customHeight="false" outlineLevel="0" collapsed="false">
      <c r="A16" s="5" t="s">
        <v>91</v>
      </c>
      <c r="B16" s="4" t="n">
        <v>160</v>
      </c>
      <c r="C16" s="4" t="s">
        <v>69</v>
      </c>
      <c r="D16" s="4" t="s">
        <v>92</v>
      </c>
      <c r="E16" s="4" t="s">
        <v>93</v>
      </c>
      <c r="F16" s="11" t="s">
        <v>94</v>
      </c>
    </row>
    <row r="17" customFormat="false" ht="15" hidden="false" customHeight="false" outlineLevel="0" collapsed="false">
      <c r="A17" s="5" t="s">
        <v>95</v>
      </c>
      <c r="B17" s="4" t="n">
        <v>2</v>
      </c>
      <c r="C17" s="4" t="s">
        <v>69</v>
      </c>
      <c r="D17" s="4" t="s">
        <v>96</v>
      </c>
      <c r="E17" s="4" t="s">
        <v>97</v>
      </c>
      <c r="F17" s="10" t="s">
        <v>79</v>
      </c>
    </row>
    <row r="18" customFormat="false" ht="15" hidden="false" customHeight="false" outlineLevel="0" collapsed="false">
      <c r="A18" s="5" t="s">
        <v>98</v>
      </c>
      <c r="B18" s="4" t="n">
        <v>1</v>
      </c>
      <c r="C18" s="4" t="s">
        <v>69</v>
      </c>
      <c r="D18" s="4" t="s">
        <v>99</v>
      </c>
      <c r="E18" s="4" t="s">
        <v>97</v>
      </c>
      <c r="F18" s="10" t="s">
        <v>79</v>
      </c>
    </row>
    <row r="19" customFormat="false" ht="15" hidden="false" customHeight="true" outlineLevel="0" collapsed="false">
      <c r="A19" s="3" t="s">
        <v>100</v>
      </c>
      <c r="B19" s="3" t="s">
        <v>101</v>
      </c>
      <c r="C19" s="3"/>
      <c r="D19" s="3"/>
      <c r="E19" s="3"/>
      <c r="F19" s="3"/>
    </row>
    <row r="20" customFormat="false" ht="45" hidden="false" customHeight="true" outlineLevel="0" collapsed="false">
      <c r="A20" s="4" t="n">
        <v>1</v>
      </c>
      <c r="B20" s="5" t="s">
        <v>102</v>
      </c>
      <c r="C20" s="5"/>
      <c r="D20" s="5"/>
      <c r="E20" s="5"/>
      <c r="F20" s="5"/>
    </row>
    <row r="21" customFormat="false" ht="30" hidden="false" customHeight="true" outlineLevel="0" collapsed="false">
      <c r="A21" s="4" t="n">
        <v>2</v>
      </c>
      <c r="B21" s="5" t="s">
        <v>103</v>
      </c>
      <c r="C21" s="5"/>
      <c r="D21" s="5"/>
      <c r="E21" s="5"/>
      <c r="F21" s="5"/>
    </row>
    <row r="22" customFormat="false" ht="30" hidden="false" customHeight="true" outlineLevel="0" collapsed="false">
      <c r="A22" s="4" t="n">
        <v>3</v>
      </c>
      <c r="B22" s="5" t="s">
        <v>104</v>
      </c>
      <c r="C22" s="5"/>
      <c r="D22" s="5"/>
      <c r="E22" s="5"/>
      <c r="F22" s="5"/>
    </row>
    <row r="23" customFormat="false" ht="30" hidden="false" customHeight="true" outlineLevel="0" collapsed="false">
      <c r="A23" s="4" t="n">
        <v>4</v>
      </c>
      <c r="B23" s="5" t="s">
        <v>105</v>
      </c>
      <c r="C23" s="5"/>
      <c r="D23" s="5"/>
      <c r="E23" s="5"/>
      <c r="F23" s="5"/>
    </row>
    <row r="24" customFormat="false" ht="18" hidden="false" customHeight="true" outlineLevel="0" collapsed="false">
      <c r="A24" s="4" t="n">
        <v>5</v>
      </c>
      <c r="B24" s="5" t="s">
        <v>106</v>
      </c>
      <c r="C24" s="5"/>
      <c r="D24" s="5"/>
      <c r="E24" s="5"/>
      <c r="F24" s="5"/>
    </row>
    <row r="25" customFormat="false" ht="30" hidden="false" customHeight="true" outlineLevel="0" collapsed="false">
      <c r="A25" s="4" t="n">
        <v>6</v>
      </c>
      <c r="B25" s="5" t="s">
        <v>107</v>
      </c>
      <c r="C25" s="5"/>
      <c r="D25" s="5"/>
      <c r="E25" s="5"/>
      <c r="F25" s="5"/>
    </row>
    <row r="26" customFormat="false" ht="18" hidden="false" customHeight="true" outlineLevel="0" collapsed="false">
      <c r="A26" s="4" t="n">
        <v>7</v>
      </c>
      <c r="B26" s="5" t="s">
        <v>108</v>
      </c>
      <c r="C26" s="5"/>
      <c r="D26" s="5"/>
      <c r="E26" s="5"/>
      <c r="F26" s="5"/>
    </row>
    <row r="27" customFormat="false" ht="30" hidden="false" customHeight="true" outlineLevel="0" collapsed="false">
      <c r="A27" s="4" t="n">
        <v>8</v>
      </c>
      <c r="B27" s="5" t="s">
        <v>109</v>
      </c>
      <c r="C27" s="5"/>
      <c r="D27" s="5"/>
      <c r="E27" s="5"/>
      <c r="F27" s="5"/>
    </row>
    <row r="29" customFormat="false" ht="16.15" hidden="false" customHeight="false" outlineLevel="0" collapsed="false">
      <c r="A29" s="1" t="s">
        <v>110</v>
      </c>
    </row>
    <row r="30" customFormat="false" ht="26.85" hidden="false" customHeight="true" outlineLevel="0" collapsed="false">
      <c r="A30" s="9" t="s">
        <v>54</v>
      </c>
      <c r="B30" s="5" t="s">
        <v>111</v>
      </c>
      <c r="C30" s="5"/>
      <c r="D30" s="5"/>
      <c r="E30" s="5"/>
      <c r="F30" s="5"/>
    </row>
    <row r="31" customFormat="false" ht="15" hidden="false" customHeight="true" outlineLevel="0" collapsed="false">
      <c r="A31" s="9" t="s">
        <v>56</v>
      </c>
      <c r="B31" s="5" t="s">
        <v>112</v>
      </c>
      <c r="C31" s="5"/>
      <c r="D31" s="5"/>
      <c r="E31" s="5"/>
      <c r="F31" s="5"/>
    </row>
    <row r="32" customFormat="false" ht="15" hidden="false" customHeight="true" outlineLevel="0" collapsed="false">
      <c r="A32" s="9" t="s">
        <v>58</v>
      </c>
      <c r="B32" s="5" t="s">
        <v>113</v>
      </c>
      <c r="C32" s="5"/>
      <c r="D32" s="5"/>
      <c r="E32" s="5"/>
      <c r="F32" s="5"/>
    </row>
    <row r="33" customFormat="false" ht="15" hidden="false" customHeight="true" outlineLevel="0" collapsed="false">
      <c r="A33" s="9" t="s">
        <v>60</v>
      </c>
      <c r="B33" s="5" t="s">
        <v>61</v>
      </c>
      <c r="C33" s="5"/>
      <c r="D33" s="5"/>
      <c r="E33" s="5"/>
      <c r="F33" s="5"/>
    </row>
    <row r="34" customFormat="false" ht="15" hidden="false" customHeight="false" outlineLevel="0" collapsed="false">
      <c r="A34" s="3" t="s">
        <v>62</v>
      </c>
      <c r="B34" s="3" t="s">
        <v>63</v>
      </c>
      <c r="C34" s="3" t="s">
        <v>64</v>
      </c>
      <c r="D34" s="3" t="s">
        <v>65</v>
      </c>
      <c r="E34" s="3" t="s">
        <v>66</v>
      </c>
      <c r="F34" s="3" t="s">
        <v>67</v>
      </c>
    </row>
    <row r="35" customFormat="false" ht="15" hidden="false" customHeight="false" outlineLevel="0" collapsed="false">
      <c r="A35" s="5" t="s">
        <v>114</v>
      </c>
      <c r="B35" s="4" t="n">
        <v>500</v>
      </c>
      <c r="C35" s="4" t="s">
        <v>69</v>
      </c>
      <c r="D35" s="4" t="s">
        <v>115</v>
      </c>
      <c r="E35" s="4" t="s">
        <v>116</v>
      </c>
      <c r="F35" s="4" t="s">
        <v>72</v>
      </c>
    </row>
    <row r="36" customFormat="false" ht="15" hidden="false" customHeight="false" outlineLevel="0" collapsed="false">
      <c r="A36" s="5" t="s">
        <v>117</v>
      </c>
      <c r="B36" s="4" t="n">
        <v>100</v>
      </c>
      <c r="C36" s="4" t="s">
        <v>69</v>
      </c>
      <c r="D36" s="4" t="s">
        <v>118</v>
      </c>
      <c r="E36" s="4" t="s">
        <v>119</v>
      </c>
      <c r="F36" s="4" t="s">
        <v>72</v>
      </c>
    </row>
    <row r="37" customFormat="false" ht="15" hidden="false" customHeight="false" outlineLevel="0" collapsed="false">
      <c r="A37" s="5" t="s">
        <v>120</v>
      </c>
      <c r="B37" s="4" t="n">
        <v>120</v>
      </c>
      <c r="C37" s="4" t="s">
        <v>69</v>
      </c>
      <c r="D37" s="4" t="s">
        <v>121</v>
      </c>
      <c r="E37" s="4" t="s">
        <v>120</v>
      </c>
      <c r="F37" s="4" t="s">
        <v>72</v>
      </c>
    </row>
    <row r="38" customFormat="false" ht="15" hidden="false" customHeight="false" outlineLevel="0" collapsed="false">
      <c r="A38" s="5" t="s">
        <v>122</v>
      </c>
      <c r="B38" s="4" t="n">
        <v>40</v>
      </c>
      <c r="C38" s="4" t="s">
        <v>69</v>
      </c>
      <c r="D38" s="4" t="s">
        <v>123</v>
      </c>
      <c r="E38" s="4" t="s">
        <v>124</v>
      </c>
      <c r="F38" s="4" t="s">
        <v>72</v>
      </c>
    </row>
    <row r="39" customFormat="false" ht="15" hidden="false" customHeight="false" outlineLevel="0" collapsed="false">
      <c r="A39" s="5" t="s">
        <v>125</v>
      </c>
      <c r="B39" s="4" t="n">
        <v>200</v>
      </c>
      <c r="C39" s="4" t="s">
        <v>74</v>
      </c>
      <c r="D39" s="4" t="s">
        <v>75</v>
      </c>
      <c r="E39" s="4" t="s">
        <v>126</v>
      </c>
      <c r="F39" s="4" t="s">
        <v>72</v>
      </c>
    </row>
    <row r="40" customFormat="false" ht="15" hidden="false" customHeight="false" outlineLevel="0" collapsed="false">
      <c r="A40" s="5" t="s">
        <v>127</v>
      </c>
      <c r="B40" s="4" t="n">
        <v>100</v>
      </c>
      <c r="C40" s="4" t="s">
        <v>69</v>
      </c>
      <c r="D40" s="4" t="s">
        <v>128</v>
      </c>
      <c r="E40" s="4" t="s">
        <v>129</v>
      </c>
      <c r="F40" s="4" t="s">
        <v>72</v>
      </c>
    </row>
    <row r="41" customFormat="false" ht="15" hidden="false" customHeight="false" outlineLevel="0" collapsed="false">
      <c r="A41" s="5" t="s">
        <v>95</v>
      </c>
      <c r="B41" s="4" t="n">
        <v>2</v>
      </c>
      <c r="C41" s="4" t="s">
        <v>69</v>
      </c>
      <c r="D41" s="4" t="s">
        <v>96</v>
      </c>
      <c r="E41" s="4" t="s">
        <v>97</v>
      </c>
      <c r="F41" s="10" t="s">
        <v>79</v>
      </c>
    </row>
    <row r="42" customFormat="false" ht="15" hidden="false" customHeight="false" outlineLevel="0" collapsed="false">
      <c r="A42" s="5" t="s">
        <v>98</v>
      </c>
      <c r="B42" s="4" t="n">
        <v>1</v>
      </c>
      <c r="C42" s="4" t="s">
        <v>69</v>
      </c>
      <c r="D42" s="4"/>
      <c r="E42" s="4" t="s">
        <v>97</v>
      </c>
      <c r="F42" s="10" t="s">
        <v>79</v>
      </c>
    </row>
    <row r="43" customFormat="false" ht="15" hidden="false" customHeight="true" outlineLevel="0" collapsed="false">
      <c r="A43" s="3" t="s">
        <v>100</v>
      </c>
      <c r="B43" s="3" t="s">
        <v>101</v>
      </c>
      <c r="C43" s="3"/>
      <c r="D43" s="3"/>
      <c r="E43" s="3"/>
      <c r="F43" s="3"/>
    </row>
    <row r="44" customFormat="false" ht="30" hidden="false" customHeight="true" outlineLevel="0" collapsed="false">
      <c r="A44" s="4" t="n">
        <v>1</v>
      </c>
      <c r="B44" s="5" t="s">
        <v>130</v>
      </c>
      <c r="C44" s="5"/>
      <c r="D44" s="5"/>
      <c r="E44" s="5"/>
      <c r="F44" s="5"/>
    </row>
    <row r="45" customFormat="false" ht="18" hidden="false" customHeight="true" outlineLevel="0" collapsed="false">
      <c r="A45" s="4" t="n">
        <v>2</v>
      </c>
      <c r="B45" s="5" t="s">
        <v>131</v>
      </c>
      <c r="C45" s="5"/>
      <c r="D45" s="5"/>
      <c r="E45" s="5"/>
      <c r="F45" s="5"/>
    </row>
    <row r="46" customFormat="false" ht="30" hidden="false" customHeight="true" outlineLevel="0" collapsed="false">
      <c r="A46" s="4" t="n">
        <v>3</v>
      </c>
      <c r="B46" s="5" t="s">
        <v>132</v>
      </c>
      <c r="C46" s="5"/>
      <c r="D46" s="5"/>
      <c r="E46" s="5"/>
      <c r="F46" s="5"/>
    </row>
    <row r="47" customFormat="false" ht="30" hidden="false" customHeight="true" outlineLevel="0" collapsed="false">
      <c r="A47" s="4" t="n">
        <v>4</v>
      </c>
      <c r="B47" s="5" t="s">
        <v>133</v>
      </c>
      <c r="C47" s="5"/>
      <c r="D47" s="5"/>
      <c r="E47" s="5"/>
      <c r="F47" s="5"/>
    </row>
    <row r="48" customFormat="false" ht="30" hidden="false" customHeight="true" outlineLevel="0" collapsed="false">
      <c r="A48" s="4" t="n">
        <v>5</v>
      </c>
      <c r="B48" s="5" t="s">
        <v>134</v>
      </c>
      <c r="C48" s="5"/>
      <c r="D48" s="5"/>
      <c r="E48" s="5"/>
      <c r="F48" s="5"/>
    </row>
    <row r="49" customFormat="false" ht="30" hidden="false" customHeight="true" outlineLevel="0" collapsed="false">
      <c r="A49" s="4" t="n">
        <v>6</v>
      </c>
      <c r="B49" s="5" t="s">
        <v>135</v>
      </c>
      <c r="C49" s="5"/>
      <c r="D49" s="5"/>
      <c r="E49" s="5"/>
      <c r="F49" s="5"/>
    </row>
    <row r="51" customFormat="false" ht="16.15" hidden="false" customHeight="false" outlineLevel="0" collapsed="false">
      <c r="A51" s="1" t="s">
        <v>136</v>
      </c>
    </row>
    <row r="52" customFormat="false" ht="26.85" hidden="false" customHeight="true" outlineLevel="0" collapsed="false">
      <c r="A52" s="9" t="s">
        <v>54</v>
      </c>
      <c r="B52" s="5" t="s">
        <v>137</v>
      </c>
      <c r="C52" s="5"/>
      <c r="D52" s="5"/>
      <c r="E52" s="5"/>
      <c r="F52" s="5"/>
    </row>
    <row r="53" customFormat="false" ht="15" hidden="false" customHeight="true" outlineLevel="0" collapsed="false">
      <c r="A53" s="9" t="s">
        <v>56</v>
      </c>
      <c r="B53" s="5" t="s">
        <v>138</v>
      </c>
      <c r="C53" s="5"/>
      <c r="D53" s="5"/>
      <c r="E53" s="5"/>
      <c r="F53" s="5"/>
    </row>
    <row r="54" customFormat="false" ht="15" hidden="false" customHeight="true" outlineLevel="0" collapsed="false">
      <c r="A54" s="9" t="s">
        <v>58</v>
      </c>
      <c r="B54" s="5" t="s">
        <v>139</v>
      </c>
      <c r="C54" s="5"/>
      <c r="D54" s="5"/>
      <c r="E54" s="5"/>
      <c r="F54" s="5"/>
    </row>
    <row r="55" customFormat="false" ht="15" hidden="false" customHeight="true" outlineLevel="0" collapsed="false">
      <c r="A55" s="9" t="s">
        <v>60</v>
      </c>
      <c r="B55" s="5" t="s">
        <v>61</v>
      </c>
      <c r="C55" s="5"/>
      <c r="D55" s="5"/>
      <c r="E55" s="5"/>
      <c r="F55" s="5"/>
    </row>
    <row r="56" customFormat="false" ht="15" hidden="false" customHeight="false" outlineLevel="0" collapsed="false">
      <c r="A56" s="3" t="s">
        <v>62</v>
      </c>
      <c r="B56" s="3" t="s">
        <v>63</v>
      </c>
      <c r="C56" s="3" t="s">
        <v>64</v>
      </c>
      <c r="D56" s="3" t="s">
        <v>65</v>
      </c>
      <c r="E56" s="3" t="s">
        <v>66</v>
      </c>
      <c r="F56" s="3" t="s">
        <v>67</v>
      </c>
    </row>
    <row r="57" customFormat="false" ht="15" hidden="false" customHeight="false" outlineLevel="0" collapsed="false">
      <c r="A57" s="5" t="s">
        <v>140</v>
      </c>
      <c r="B57" s="4" t="n">
        <v>320</v>
      </c>
      <c r="C57" s="4" t="s">
        <v>69</v>
      </c>
      <c r="D57" s="4" t="s">
        <v>141</v>
      </c>
      <c r="E57" s="4" t="s">
        <v>142</v>
      </c>
      <c r="F57" s="4" t="s">
        <v>72</v>
      </c>
    </row>
    <row r="58" customFormat="false" ht="15" hidden="false" customHeight="false" outlineLevel="0" collapsed="false">
      <c r="A58" s="5" t="s">
        <v>143</v>
      </c>
      <c r="B58" s="4" t="n">
        <v>120</v>
      </c>
      <c r="C58" s="4" t="s">
        <v>69</v>
      </c>
      <c r="D58" s="4" t="s">
        <v>144</v>
      </c>
      <c r="E58" s="4" t="s">
        <v>145</v>
      </c>
      <c r="F58" s="4" t="s">
        <v>72</v>
      </c>
    </row>
    <row r="59" customFormat="false" ht="15" hidden="false" customHeight="false" outlineLevel="0" collapsed="false">
      <c r="A59" s="5" t="s">
        <v>146</v>
      </c>
      <c r="B59" s="4" t="n">
        <v>100</v>
      </c>
      <c r="C59" s="4" t="s">
        <v>69</v>
      </c>
      <c r="D59" s="4" t="s">
        <v>147</v>
      </c>
      <c r="E59" s="4" t="s">
        <v>124</v>
      </c>
      <c r="F59" s="4" t="s">
        <v>72</v>
      </c>
    </row>
    <row r="60" customFormat="false" ht="15" hidden="false" customHeight="false" outlineLevel="0" collapsed="false">
      <c r="A60" s="5" t="s">
        <v>148</v>
      </c>
      <c r="B60" s="4" t="n">
        <v>140</v>
      </c>
      <c r="C60" s="4" t="s">
        <v>69</v>
      </c>
      <c r="D60" s="4" t="s">
        <v>149</v>
      </c>
      <c r="E60" s="4" t="s">
        <v>148</v>
      </c>
      <c r="F60" s="4" t="s">
        <v>72</v>
      </c>
    </row>
    <row r="61" customFormat="false" ht="15" hidden="false" customHeight="false" outlineLevel="0" collapsed="false">
      <c r="A61" s="5" t="s">
        <v>95</v>
      </c>
      <c r="B61" s="4" t="n">
        <v>1</v>
      </c>
      <c r="C61" s="4" t="s">
        <v>69</v>
      </c>
      <c r="D61" s="4" t="s">
        <v>96</v>
      </c>
      <c r="E61" s="4" t="s">
        <v>97</v>
      </c>
      <c r="F61" s="10" t="s">
        <v>79</v>
      </c>
    </row>
    <row r="62" customFormat="false" ht="15" hidden="false" customHeight="false" outlineLevel="0" collapsed="false">
      <c r="A62" s="5" t="s">
        <v>98</v>
      </c>
      <c r="B62" s="4" t="n">
        <v>1</v>
      </c>
      <c r="C62" s="4" t="s">
        <v>69</v>
      </c>
      <c r="D62" s="4"/>
      <c r="E62" s="4" t="s">
        <v>97</v>
      </c>
      <c r="F62" s="10" t="s">
        <v>79</v>
      </c>
    </row>
    <row r="63" customFormat="false" ht="15" hidden="false" customHeight="true" outlineLevel="0" collapsed="false">
      <c r="A63" s="3" t="s">
        <v>100</v>
      </c>
      <c r="B63" s="3" t="s">
        <v>101</v>
      </c>
      <c r="C63" s="3"/>
      <c r="D63" s="3"/>
      <c r="E63" s="3"/>
      <c r="F63" s="3"/>
    </row>
    <row r="64" customFormat="false" ht="18" hidden="false" customHeight="true" outlineLevel="0" collapsed="false">
      <c r="A64" s="4" t="n">
        <v>1</v>
      </c>
      <c r="B64" s="5" t="s">
        <v>150</v>
      </c>
      <c r="C64" s="5"/>
      <c r="D64" s="5"/>
      <c r="E64" s="5"/>
      <c r="F64" s="5"/>
    </row>
    <row r="65" customFormat="false" ht="30" hidden="false" customHeight="true" outlineLevel="0" collapsed="false">
      <c r="A65" s="4" t="n">
        <v>2</v>
      </c>
      <c r="B65" s="5" t="s">
        <v>151</v>
      </c>
      <c r="C65" s="5"/>
      <c r="D65" s="5"/>
      <c r="E65" s="5"/>
      <c r="F65" s="5"/>
    </row>
    <row r="66" customFormat="false" ht="30" hidden="false" customHeight="true" outlineLevel="0" collapsed="false">
      <c r="A66" s="4" t="n">
        <v>3</v>
      </c>
      <c r="B66" s="5" t="s">
        <v>152</v>
      </c>
      <c r="C66" s="5"/>
      <c r="D66" s="5"/>
      <c r="E66" s="5"/>
      <c r="F66" s="5"/>
    </row>
    <row r="67" customFormat="false" ht="30" hidden="false" customHeight="true" outlineLevel="0" collapsed="false">
      <c r="A67" s="4" t="n">
        <v>4</v>
      </c>
      <c r="B67" s="5" t="s">
        <v>153</v>
      </c>
      <c r="C67" s="5"/>
      <c r="D67" s="5"/>
      <c r="E67" s="5"/>
      <c r="F67" s="5"/>
    </row>
    <row r="68" customFormat="false" ht="30" hidden="false" customHeight="true" outlineLevel="0" collapsed="false">
      <c r="A68" s="4" t="n">
        <v>5</v>
      </c>
      <c r="B68" s="5" t="s">
        <v>154</v>
      </c>
      <c r="C68" s="5"/>
      <c r="D68" s="5"/>
      <c r="E68" s="5"/>
      <c r="F68" s="5"/>
    </row>
    <row r="69" customFormat="false" ht="30" hidden="false" customHeight="true" outlineLevel="0" collapsed="false">
      <c r="A69" s="4" t="n">
        <v>6</v>
      </c>
      <c r="B69" s="5" t="s">
        <v>155</v>
      </c>
      <c r="C69" s="5"/>
      <c r="D69" s="5"/>
      <c r="E69" s="5"/>
      <c r="F69" s="5"/>
    </row>
    <row r="71" customFormat="false" ht="16.15" hidden="false" customHeight="false" outlineLevel="0" collapsed="false">
      <c r="A71" s="1" t="s">
        <v>156</v>
      </c>
    </row>
    <row r="72" customFormat="false" ht="26.85" hidden="false" customHeight="true" outlineLevel="0" collapsed="false">
      <c r="A72" s="9" t="s">
        <v>54</v>
      </c>
      <c r="B72" s="5" t="s">
        <v>157</v>
      </c>
      <c r="C72" s="5"/>
      <c r="D72" s="5"/>
      <c r="E72" s="5"/>
      <c r="F72" s="5"/>
    </row>
    <row r="73" customFormat="false" ht="15" hidden="false" customHeight="true" outlineLevel="0" collapsed="false">
      <c r="A73" s="9" t="s">
        <v>56</v>
      </c>
      <c r="B73" s="5" t="s">
        <v>158</v>
      </c>
      <c r="C73" s="5"/>
      <c r="D73" s="5"/>
      <c r="E73" s="5"/>
      <c r="F73" s="5"/>
    </row>
    <row r="74" customFormat="false" ht="15" hidden="false" customHeight="true" outlineLevel="0" collapsed="false">
      <c r="A74" s="9" t="s">
        <v>58</v>
      </c>
      <c r="B74" s="5" t="s">
        <v>159</v>
      </c>
      <c r="C74" s="5"/>
      <c r="D74" s="5"/>
      <c r="E74" s="5"/>
      <c r="F74" s="5"/>
    </row>
    <row r="75" customFormat="false" ht="15" hidden="false" customHeight="true" outlineLevel="0" collapsed="false">
      <c r="A75" s="9" t="s">
        <v>60</v>
      </c>
      <c r="B75" s="5" t="s">
        <v>160</v>
      </c>
      <c r="C75" s="5"/>
      <c r="D75" s="5"/>
      <c r="E75" s="5"/>
      <c r="F75" s="5"/>
    </row>
    <row r="76" customFormat="false" ht="15" hidden="false" customHeight="false" outlineLevel="0" collapsed="false">
      <c r="A76" s="3" t="s">
        <v>62</v>
      </c>
      <c r="B76" s="3" t="s">
        <v>63</v>
      </c>
      <c r="C76" s="3" t="s">
        <v>64</v>
      </c>
      <c r="D76" s="3" t="s">
        <v>65</v>
      </c>
      <c r="E76" s="3" t="s">
        <v>66</v>
      </c>
      <c r="F76" s="3" t="s">
        <v>67</v>
      </c>
    </row>
    <row r="77" customFormat="false" ht="15" hidden="false" customHeight="false" outlineLevel="0" collapsed="false">
      <c r="A77" s="5" t="s">
        <v>161</v>
      </c>
      <c r="B77" s="4" t="n">
        <v>300</v>
      </c>
      <c r="C77" s="4" t="s">
        <v>69</v>
      </c>
      <c r="D77" s="4" t="s">
        <v>162</v>
      </c>
      <c r="E77" s="4" t="s">
        <v>163</v>
      </c>
      <c r="F77" s="4" t="s">
        <v>72</v>
      </c>
    </row>
    <row r="78" customFormat="false" ht="15" hidden="false" customHeight="false" outlineLevel="0" collapsed="false">
      <c r="A78" s="5" t="s">
        <v>117</v>
      </c>
      <c r="B78" s="4" t="n">
        <v>140</v>
      </c>
      <c r="C78" s="4" t="s">
        <v>69</v>
      </c>
      <c r="D78" s="4" t="s">
        <v>164</v>
      </c>
      <c r="E78" s="4" t="s">
        <v>119</v>
      </c>
      <c r="F78" s="4" t="s">
        <v>72</v>
      </c>
    </row>
    <row r="79" customFormat="false" ht="15" hidden="false" customHeight="false" outlineLevel="0" collapsed="false">
      <c r="A79" s="5" t="s">
        <v>165</v>
      </c>
      <c r="B79" s="4" t="n">
        <v>80</v>
      </c>
      <c r="C79" s="4" t="s">
        <v>69</v>
      </c>
      <c r="D79" s="4" t="s">
        <v>166</v>
      </c>
      <c r="E79" s="4" t="s">
        <v>167</v>
      </c>
      <c r="F79" s="4" t="s">
        <v>72</v>
      </c>
    </row>
    <row r="80" customFormat="false" ht="15" hidden="false" customHeight="false" outlineLevel="0" collapsed="false">
      <c r="A80" s="5" t="s">
        <v>168</v>
      </c>
      <c r="B80" s="4" t="n">
        <v>20</v>
      </c>
      <c r="C80" s="4" t="s">
        <v>74</v>
      </c>
      <c r="D80" s="4" t="s">
        <v>169</v>
      </c>
      <c r="E80" s="4" t="s">
        <v>90</v>
      </c>
      <c r="F80" s="4" t="s">
        <v>72</v>
      </c>
    </row>
    <row r="81" customFormat="false" ht="15" hidden="false" customHeight="false" outlineLevel="0" collapsed="false">
      <c r="A81" s="5" t="s">
        <v>170</v>
      </c>
      <c r="B81" s="4" t="n">
        <v>120</v>
      </c>
      <c r="C81" s="4" t="s">
        <v>69</v>
      </c>
      <c r="D81" s="4" t="s">
        <v>171</v>
      </c>
      <c r="E81" s="4" t="s">
        <v>172</v>
      </c>
      <c r="F81" s="4" t="s">
        <v>72</v>
      </c>
    </row>
    <row r="82" customFormat="false" ht="15" hidden="false" customHeight="false" outlineLevel="0" collapsed="false">
      <c r="A82" s="5" t="s">
        <v>173</v>
      </c>
      <c r="B82" s="4" t="n">
        <v>200</v>
      </c>
      <c r="C82" s="4" t="s">
        <v>74</v>
      </c>
      <c r="D82" s="4" t="s">
        <v>92</v>
      </c>
      <c r="E82" s="4" t="s">
        <v>174</v>
      </c>
      <c r="F82" s="4" t="s">
        <v>72</v>
      </c>
    </row>
    <row r="83" customFormat="false" ht="15" hidden="false" customHeight="false" outlineLevel="0" collapsed="false">
      <c r="A83" s="5" t="s">
        <v>174</v>
      </c>
      <c r="B83" s="4" t="n">
        <v>400</v>
      </c>
      <c r="C83" s="4" t="s">
        <v>74</v>
      </c>
      <c r="D83" s="4" t="s">
        <v>175</v>
      </c>
      <c r="E83" s="4" t="s">
        <v>174</v>
      </c>
      <c r="F83" s="4" t="s">
        <v>72</v>
      </c>
    </row>
    <row r="84" customFormat="false" ht="15" hidden="false" customHeight="false" outlineLevel="0" collapsed="false">
      <c r="A84" s="5" t="s">
        <v>176</v>
      </c>
      <c r="B84" s="4" t="n">
        <v>50</v>
      </c>
      <c r="C84" s="4" t="s">
        <v>69</v>
      </c>
      <c r="D84" s="4" t="s">
        <v>123</v>
      </c>
      <c r="E84" s="4" t="s">
        <v>124</v>
      </c>
      <c r="F84" s="4" t="s">
        <v>72</v>
      </c>
    </row>
    <row r="85" customFormat="false" ht="15" hidden="false" customHeight="false" outlineLevel="0" collapsed="false">
      <c r="A85" s="5" t="s">
        <v>177</v>
      </c>
      <c r="B85" s="4" t="n">
        <v>4</v>
      </c>
      <c r="C85" s="4" t="s">
        <v>69</v>
      </c>
      <c r="D85" s="4" t="s">
        <v>81</v>
      </c>
      <c r="E85" s="4" t="s">
        <v>178</v>
      </c>
      <c r="F85" s="10" t="s">
        <v>79</v>
      </c>
    </row>
    <row r="86" customFormat="false" ht="15" hidden="false" customHeight="false" outlineLevel="0" collapsed="false">
      <c r="A86" s="5" t="s">
        <v>95</v>
      </c>
      <c r="B86" s="4" t="n">
        <v>2</v>
      </c>
      <c r="C86" s="4" t="s">
        <v>69</v>
      </c>
      <c r="D86" s="4"/>
      <c r="E86" s="4" t="s">
        <v>97</v>
      </c>
      <c r="F86" s="10" t="s">
        <v>79</v>
      </c>
    </row>
    <row r="87" customFormat="false" ht="15" hidden="false" customHeight="false" outlineLevel="0" collapsed="false">
      <c r="A87" s="5" t="s">
        <v>98</v>
      </c>
      <c r="B87" s="4" t="n">
        <v>1</v>
      </c>
      <c r="C87" s="4" t="s">
        <v>69</v>
      </c>
      <c r="D87" s="4"/>
      <c r="E87" s="4" t="s">
        <v>97</v>
      </c>
      <c r="F87" s="10" t="s">
        <v>79</v>
      </c>
    </row>
    <row r="88" customFormat="false" ht="15" hidden="false" customHeight="true" outlineLevel="0" collapsed="false">
      <c r="A88" s="3" t="s">
        <v>100</v>
      </c>
      <c r="B88" s="3" t="s">
        <v>101</v>
      </c>
      <c r="C88" s="3"/>
      <c r="D88" s="3"/>
      <c r="E88" s="3"/>
      <c r="F88" s="3"/>
    </row>
    <row r="89" customFormat="false" ht="18" hidden="false" customHeight="true" outlineLevel="0" collapsed="false">
      <c r="A89" s="4" t="n">
        <v>1</v>
      </c>
      <c r="B89" s="5" t="s">
        <v>179</v>
      </c>
      <c r="C89" s="5"/>
      <c r="D89" s="5"/>
      <c r="E89" s="5"/>
      <c r="F89" s="5"/>
    </row>
    <row r="90" customFormat="false" ht="18" hidden="false" customHeight="true" outlineLevel="0" collapsed="false">
      <c r="A90" s="4" t="n">
        <v>2</v>
      </c>
      <c r="B90" s="5" t="s">
        <v>180</v>
      </c>
      <c r="C90" s="5"/>
      <c r="D90" s="5"/>
      <c r="E90" s="5"/>
      <c r="F90" s="5"/>
    </row>
    <row r="91" customFormat="false" ht="30" hidden="false" customHeight="true" outlineLevel="0" collapsed="false">
      <c r="A91" s="4" t="n">
        <v>3</v>
      </c>
      <c r="B91" s="5" t="s">
        <v>181</v>
      </c>
      <c r="C91" s="5"/>
      <c r="D91" s="5"/>
      <c r="E91" s="5"/>
      <c r="F91" s="5"/>
    </row>
    <row r="92" customFormat="false" ht="45" hidden="false" customHeight="true" outlineLevel="0" collapsed="false">
      <c r="A92" s="4" t="n">
        <v>4</v>
      </c>
      <c r="B92" s="5" t="s">
        <v>182</v>
      </c>
      <c r="C92" s="5"/>
      <c r="D92" s="5"/>
      <c r="E92" s="5"/>
      <c r="F92" s="5"/>
    </row>
    <row r="93" customFormat="false" ht="30" hidden="false" customHeight="true" outlineLevel="0" collapsed="false">
      <c r="A93" s="4" t="n">
        <v>5</v>
      </c>
      <c r="B93" s="5" t="s">
        <v>183</v>
      </c>
      <c r="C93" s="5"/>
      <c r="D93" s="5"/>
      <c r="E93" s="5"/>
      <c r="F93" s="5"/>
    </row>
    <row r="94" customFormat="false" ht="18" hidden="false" customHeight="true" outlineLevel="0" collapsed="false">
      <c r="A94" s="4" t="n">
        <v>6</v>
      </c>
      <c r="B94" s="5" t="s">
        <v>184</v>
      </c>
      <c r="C94" s="5"/>
      <c r="D94" s="5"/>
      <c r="E94" s="5"/>
      <c r="F94" s="5"/>
    </row>
    <row r="95" customFormat="false" ht="30" hidden="false" customHeight="true" outlineLevel="0" collapsed="false">
      <c r="A95" s="4" t="n">
        <v>7</v>
      </c>
      <c r="B95" s="5" t="s">
        <v>185</v>
      </c>
      <c r="C95" s="5"/>
      <c r="D95" s="5"/>
      <c r="E95" s="5"/>
      <c r="F95" s="5"/>
    </row>
    <row r="96" customFormat="false" ht="18" hidden="false" customHeight="true" outlineLevel="0" collapsed="false">
      <c r="A96" s="4" t="n">
        <v>8</v>
      </c>
      <c r="B96" s="5" t="s">
        <v>186</v>
      </c>
      <c r="C96" s="5"/>
      <c r="D96" s="5"/>
      <c r="E96" s="5"/>
      <c r="F96" s="5"/>
    </row>
    <row r="98" customFormat="false" ht="16.15" hidden="false" customHeight="false" outlineLevel="0" collapsed="false">
      <c r="A98" s="1" t="s">
        <v>187</v>
      </c>
    </row>
    <row r="99" customFormat="false" ht="15" hidden="false" customHeight="true" outlineLevel="0" collapsed="false">
      <c r="A99" s="9" t="s">
        <v>54</v>
      </c>
      <c r="B99" s="5" t="s">
        <v>188</v>
      </c>
      <c r="C99" s="5"/>
      <c r="D99" s="5"/>
      <c r="E99" s="5"/>
      <c r="F99" s="5"/>
    </row>
    <row r="100" customFormat="false" ht="15" hidden="false" customHeight="true" outlineLevel="0" collapsed="false">
      <c r="A100" s="9" t="s">
        <v>56</v>
      </c>
      <c r="B100" s="5" t="s">
        <v>189</v>
      </c>
      <c r="C100" s="5"/>
      <c r="D100" s="5"/>
      <c r="E100" s="5"/>
      <c r="F100" s="5"/>
    </row>
    <row r="101" customFormat="false" ht="15" hidden="false" customHeight="true" outlineLevel="0" collapsed="false">
      <c r="A101" s="9" t="s">
        <v>58</v>
      </c>
      <c r="B101" s="5" t="s">
        <v>113</v>
      </c>
      <c r="C101" s="5"/>
      <c r="D101" s="5"/>
      <c r="E101" s="5"/>
      <c r="F101" s="5"/>
    </row>
    <row r="102" customFormat="false" ht="15" hidden="false" customHeight="true" outlineLevel="0" collapsed="false">
      <c r="A102" s="9" t="s">
        <v>60</v>
      </c>
      <c r="B102" s="5" t="s">
        <v>61</v>
      </c>
      <c r="C102" s="5"/>
      <c r="D102" s="5"/>
      <c r="E102" s="5"/>
      <c r="F102" s="5"/>
    </row>
    <row r="103" customFormat="false" ht="15" hidden="false" customHeight="false" outlineLevel="0" collapsed="false">
      <c r="A103" s="3" t="s">
        <v>62</v>
      </c>
      <c r="B103" s="3" t="s">
        <v>63</v>
      </c>
      <c r="C103" s="3" t="s">
        <v>64</v>
      </c>
      <c r="D103" s="3" t="s">
        <v>65</v>
      </c>
      <c r="E103" s="3" t="s">
        <v>66</v>
      </c>
      <c r="F103" s="3" t="s">
        <v>67</v>
      </c>
    </row>
    <row r="104" customFormat="false" ht="15" hidden="false" customHeight="false" outlineLevel="0" collapsed="false">
      <c r="A104" s="5" t="s">
        <v>190</v>
      </c>
      <c r="B104" s="4" t="n">
        <v>250</v>
      </c>
      <c r="C104" s="4" t="s">
        <v>69</v>
      </c>
      <c r="D104" s="4" t="s">
        <v>147</v>
      </c>
      <c r="E104" s="4" t="s">
        <v>191</v>
      </c>
      <c r="F104" s="4" t="s">
        <v>72</v>
      </c>
    </row>
    <row r="105" customFormat="false" ht="15" hidden="false" customHeight="false" outlineLevel="0" collapsed="false">
      <c r="A105" s="5" t="s">
        <v>192</v>
      </c>
      <c r="B105" s="4" t="n">
        <v>250</v>
      </c>
      <c r="C105" s="4" t="s">
        <v>74</v>
      </c>
      <c r="D105" s="4" t="s">
        <v>193</v>
      </c>
      <c r="E105" s="4" t="s">
        <v>126</v>
      </c>
      <c r="F105" s="4" t="s">
        <v>72</v>
      </c>
    </row>
    <row r="106" customFormat="false" ht="15" hidden="false" customHeight="false" outlineLevel="0" collapsed="false">
      <c r="A106" s="5" t="s">
        <v>194</v>
      </c>
      <c r="B106" s="4" t="n">
        <v>36</v>
      </c>
      <c r="C106" s="4" t="s">
        <v>69</v>
      </c>
      <c r="D106" s="4" t="s">
        <v>195</v>
      </c>
      <c r="E106" s="4" t="s">
        <v>196</v>
      </c>
      <c r="F106" s="4" t="s">
        <v>72</v>
      </c>
    </row>
    <row r="107" customFormat="false" ht="15" hidden="false" customHeight="false" outlineLevel="0" collapsed="false">
      <c r="A107" s="5" t="s">
        <v>120</v>
      </c>
      <c r="B107" s="4" t="n">
        <v>120</v>
      </c>
      <c r="C107" s="4" t="s">
        <v>69</v>
      </c>
      <c r="D107" s="4" t="s">
        <v>121</v>
      </c>
      <c r="E107" s="4" t="s">
        <v>120</v>
      </c>
      <c r="F107" s="4" t="s">
        <v>72</v>
      </c>
    </row>
    <row r="108" customFormat="false" ht="15" hidden="false" customHeight="false" outlineLevel="0" collapsed="false">
      <c r="A108" s="5" t="s">
        <v>117</v>
      </c>
      <c r="B108" s="4" t="n">
        <v>100</v>
      </c>
      <c r="C108" s="4" t="s">
        <v>69</v>
      </c>
      <c r="D108" s="4" t="s">
        <v>197</v>
      </c>
      <c r="E108" s="4" t="s">
        <v>119</v>
      </c>
      <c r="F108" s="4" t="s">
        <v>72</v>
      </c>
    </row>
    <row r="109" customFormat="false" ht="15" hidden="false" customHeight="false" outlineLevel="0" collapsed="false">
      <c r="A109" s="5" t="s">
        <v>95</v>
      </c>
      <c r="B109" s="4" t="n">
        <v>2</v>
      </c>
      <c r="C109" s="4" t="s">
        <v>69</v>
      </c>
      <c r="D109" s="4" t="s">
        <v>96</v>
      </c>
      <c r="E109" s="4" t="s">
        <v>97</v>
      </c>
      <c r="F109" s="10" t="s">
        <v>79</v>
      </c>
    </row>
    <row r="110" customFormat="false" ht="15" hidden="false" customHeight="false" outlineLevel="0" collapsed="false">
      <c r="A110" s="5" t="s">
        <v>98</v>
      </c>
      <c r="B110" s="4" t="n">
        <v>2</v>
      </c>
      <c r="C110" s="4" t="s">
        <v>69</v>
      </c>
      <c r="D110" s="4" t="s">
        <v>198</v>
      </c>
      <c r="E110" s="4" t="s">
        <v>97</v>
      </c>
      <c r="F110" s="10" t="s">
        <v>79</v>
      </c>
    </row>
    <row r="111" customFormat="false" ht="15" hidden="false" customHeight="true" outlineLevel="0" collapsed="false">
      <c r="A111" s="3" t="s">
        <v>100</v>
      </c>
      <c r="B111" s="3" t="s">
        <v>101</v>
      </c>
      <c r="C111" s="3"/>
      <c r="D111" s="3"/>
      <c r="E111" s="3"/>
      <c r="F111" s="3"/>
    </row>
    <row r="112" customFormat="false" ht="18" hidden="false" customHeight="true" outlineLevel="0" collapsed="false">
      <c r="A112" s="4" t="n">
        <v>1</v>
      </c>
      <c r="B112" s="5" t="s">
        <v>199</v>
      </c>
      <c r="C112" s="5"/>
      <c r="D112" s="5"/>
      <c r="E112" s="5"/>
      <c r="F112" s="5"/>
    </row>
    <row r="113" customFormat="false" ht="30" hidden="false" customHeight="true" outlineLevel="0" collapsed="false">
      <c r="A113" s="4" t="n">
        <v>2</v>
      </c>
      <c r="B113" s="5" t="s">
        <v>200</v>
      </c>
      <c r="C113" s="5"/>
      <c r="D113" s="5"/>
      <c r="E113" s="5"/>
      <c r="F113" s="5"/>
    </row>
    <row r="114" customFormat="false" ht="30" hidden="false" customHeight="true" outlineLevel="0" collapsed="false">
      <c r="A114" s="4" t="n">
        <v>3</v>
      </c>
      <c r="B114" s="5" t="s">
        <v>201</v>
      </c>
      <c r="C114" s="5"/>
      <c r="D114" s="5"/>
      <c r="E114" s="5"/>
      <c r="F114" s="5"/>
    </row>
    <row r="115" customFormat="false" ht="18" hidden="false" customHeight="true" outlineLevel="0" collapsed="false">
      <c r="A115" s="4" t="n">
        <v>4</v>
      </c>
      <c r="B115" s="5" t="s">
        <v>202</v>
      </c>
      <c r="C115" s="5"/>
      <c r="D115" s="5"/>
      <c r="E115" s="5"/>
      <c r="F115" s="5"/>
    </row>
    <row r="116" customFormat="false" ht="45" hidden="false" customHeight="true" outlineLevel="0" collapsed="false">
      <c r="A116" s="4" t="n">
        <v>5</v>
      </c>
      <c r="B116" s="5" t="s">
        <v>203</v>
      </c>
      <c r="C116" s="5"/>
      <c r="D116" s="5"/>
      <c r="E116" s="5"/>
      <c r="F116" s="5"/>
    </row>
    <row r="117" customFormat="false" ht="18" hidden="false" customHeight="true" outlineLevel="0" collapsed="false">
      <c r="A117" s="4" t="n">
        <v>6</v>
      </c>
      <c r="B117" s="5" t="s">
        <v>204</v>
      </c>
      <c r="C117" s="5"/>
      <c r="D117" s="5"/>
      <c r="E117" s="5"/>
      <c r="F117" s="5"/>
    </row>
    <row r="119" customFormat="false" ht="16.15" hidden="false" customHeight="false" outlineLevel="0" collapsed="false">
      <c r="A119" s="1" t="s">
        <v>205</v>
      </c>
    </row>
    <row r="120" customFormat="false" ht="26.85" hidden="false" customHeight="true" outlineLevel="0" collapsed="false">
      <c r="A120" s="9" t="s">
        <v>54</v>
      </c>
      <c r="B120" s="5" t="s">
        <v>206</v>
      </c>
      <c r="C120" s="5"/>
      <c r="D120" s="5"/>
      <c r="E120" s="5"/>
      <c r="F120" s="5"/>
    </row>
    <row r="121" customFormat="false" ht="15" hidden="false" customHeight="true" outlineLevel="0" collapsed="false">
      <c r="A121" s="9" t="s">
        <v>56</v>
      </c>
      <c r="B121" s="5" t="s">
        <v>207</v>
      </c>
      <c r="C121" s="5"/>
      <c r="D121" s="5"/>
      <c r="E121" s="5"/>
      <c r="F121" s="5"/>
    </row>
    <row r="122" customFormat="false" ht="15" hidden="false" customHeight="true" outlineLevel="0" collapsed="false">
      <c r="A122" s="9" t="s">
        <v>58</v>
      </c>
      <c r="B122" s="5" t="s">
        <v>59</v>
      </c>
      <c r="C122" s="5"/>
      <c r="D122" s="5"/>
      <c r="E122" s="5"/>
      <c r="F122" s="5"/>
    </row>
    <row r="123" customFormat="false" ht="15" hidden="false" customHeight="true" outlineLevel="0" collapsed="false">
      <c r="A123" s="9" t="s">
        <v>60</v>
      </c>
      <c r="B123" s="5" t="s">
        <v>208</v>
      </c>
      <c r="C123" s="5"/>
      <c r="D123" s="5"/>
      <c r="E123" s="5"/>
      <c r="F123" s="5"/>
    </row>
    <row r="124" customFormat="false" ht="15" hidden="false" customHeight="false" outlineLevel="0" collapsed="false">
      <c r="A124" s="3" t="s">
        <v>62</v>
      </c>
      <c r="B124" s="3" t="s">
        <v>63</v>
      </c>
      <c r="C124" s="3" t="s">
        <v>64</v>
      </c>
      <c r="D124" s="3" t="s">
        <v>65</v>
      </c>
      <c r="E124" s="3" t="s">
        <v>66</v>
      </c>
      <c r="F124" s="3" t="s">
        <v>67</v>
      </c>
    </row>
    <row r="125" customFormat="false" ht="15" hidden="false" customHeight="false" outlineLevel="0" collapsed="false">
      <c r="A125" s="5" t="s">
        <v>209</v>
      </c>
      <c r="B125" s="4" t="n">
        <v>300</v>
      </c>
      <c r="C125" s="4" t="s">
        <v>69</v>
      </c>
      <c r="D125" s="4" t="s">
        <v>210</v>
      </c>
      <c r="E125" s="4" t="s">
        <v>71</v>
      </c>
      <c r="F125" s="4" t="s">
        <v>72</v>
      </c>
    </row>
    <row r="126" customFormat="false" ht="15" hidden="false" customHeight="false" outlineLevel="0" collapsed="false">
      <c r="A126" s="5" t="s">
        <v>117</v>
      </c>
      <c r="B126" s="4" t="n">
        <v>60</v>
      </c>
      <c r="C126" s="4" t="s">
        <v>69</v>
      </c>
      <c r="D126" s="4" t="s">
        <v>211</v>
      </c>
      <c r="E126" s="4" t="s">
        <v>119</v>
      </c>
      <c r="F126" s="4" t="s">
        <v>72</v>
      </c>
    </row>
    <row r="127" customFormat="false" ht="15" hidden="false" customHeight="false" outlineLevel="0" collapsed="false">
      <c r="A127" s="5" t="s">
        <v>212</v>
      </c>
      <c r="B127" s="4" t="n">
        <v>6</v>
      </c>
      <c r="C127" s="4" t="s">
        <v>69</v>
      </c>
      <c r="D127" s="4" t="s">
        <v>213</v>
      </c>
      <c r="E127" s="4" t="s">
        <v>214</v>
      </c>
      <c r="F127" s="4" t="s">
        <v>72</v>
      </c>
    </row>
    <row r="128" customFormat="false" ht="15" hidden="false" customHeight="false" outlineLevel="0" collapsed="false">
      <c r="A128" s="5" t="s">
        <v>143</v>
      </c>
      <c r="B128" s="4" t="n">
        <v>120</v>
      </c>
      <c r="C128" s="4" t="s">
        <v>69</v>
      </c>
      <c r="D128" s="4" t="s">
        <v>144</v>
      </c>
      <c r="E128" s="4" t="s">
        <v>145</v>
      </c>
      <c r="F128" s="4" t="s">
        <v>72</v>
      </c>
    </row>
    <row r="129" customFormat="false" ht="26.85" hidden="false" customHeight="false" outlineLevel="0" collapsed="false">
      <c r="A129" s="5" t="s">
        <v>215</v>
      </c>
      <c r="B129" s="4" t="n">
        <v>120</v>
      </c>
      <c r="C129" s="4" t="s">
        <v>69</v>
      </c>
      <c r="D129" s="4" t="s">
        <v>216</v>
      </c>
      <c r="E129" s="4" t="s">
        <v>217</v>
      </c>
      <c r="F129" s="4" t="s">
        <v>72</v>
      </c>
    </row>
    <row r="130" customFormat="false" ht="15" hidden="false" customHeight="false" outlineLevel="0" collapsed="false">
      <c r="A130" s="5" t="s">
        <v>218</v>
      </c>
      <c r="B130" s="4" t="n">
        <v>10</v>
      </c>
      <c r="C130" s="4" t="s">
        <v>69</v>
      </c>
      <c r="D130" s="4" t="s">
        <v>81</v>
      </c>
      <c r="E130" s="4" t="s">
        <v>87</v>
      </c>
      <c r="F130" s="10" t="s">
        <v>79</v>
      </c>
    </row>
    <row r="131" customFormat="false" ht="15" hidden="false" customHeight="false" outlineLevel="0" collapsed="false">
      <c r="A131" s="5" t="s">
        <v>219</v>
      </c>
      <c r="B131" s="4" t="n">
        <v>10</v>
      </c>
      <c r="C131" s="4" t="s">
        <v>69</v>
      </c>
      <c r="D131" s="4" t="s">
        <v>220</v>
      </c>
      <c r="E131" s="4" t="s">
        <v>221</v>
      </c>
      <c r="F131" s="4" t="s">
        <v>72</v>
      </c>
    </row>
    <row r="132" customFormat="false" ht="15" hidden="false" customHeight="false" outlineLevel="0" collapsed="false">
      <c r="A132" s="5" t="s">
        <v>222</v>
      </c>
      <c r="B132" s="4" t="n">
        <v>2</v>
      </c>
      <c r="C132" s="4" t="s">
        <v>69</v>
      </c>
      <c r="D132" s="4" t="s">
        <v>96</v>
      </c>
      <c r="E132" s="4" t="s">
        <v>178</v>
      </c>
      <c r="F132" s="10" t="s">
        <v>79</v>
      </c>
    </row>
    <row r="133" customFormat="false" ht="15" hidden="false" customHeight="false" outlineLevel="0" collapsed="false">
      <c r="A133" s="5" t="s">
        <v>174</v>
      </c>
      <c r="B133" s="4" t="n">
        <v>200</v>
      </c>
      <c r="C133" s="4" t="s">
        <v>74</v>
      </c>
      <c r="D133" s="4" t="s">
        <v>92</v>
      </c>
      <c r="E133" s="4" t="s">
        <v>174</v>
      </c>
      <c r="F133" s="4" t="s">
        <v>72</v>
      </c>
    </row>
    <row r="134" customFormat="false" ht="15" hidden="false" customHeight="false" outlineLevel="0" collapsed="false">
      <c r="A134" s="5" t="s">
        <v>88</v>
      </c>
      <c r="B134" s="4" t="n">
        <v>20</v>
      </c>
      <c r="C134" s="4" t="s">
        <v>74</v>
      </c>
      <c r="D134" s="4" t="s">
        <v>169</v>
      </c>
      <c r="E134" s="4" t="s">
        <v>90</v>
      </c>
      <c r="F134" s="10" t="s">
        <v>79</v>
      </c>
    </row>
    <row r="135" customFormat="false" ht="15" hidden="false" customHeight="false" outlineLevel="0" collapsed="false">
      <c r="A135" s="5" t="s">
        <v>223</v>
      </c>
      <c r="B135" s="4" t="n">
        <v>200</v>
      </c>
      <c r="C135" s="4" t="s">
        <v>69</v>
      </c>
      <c r="D135" s="4" t="s">
        <v>224</v>
      </c>
      <c r="E135" s="4" t="s">
        <v>191</v>
      </c>
      <c r="F135" s="11" t="s">
        <v>94</v>
      </c>
    </row>
    <row r="136" customFormat="false" ht="15" hidden="false" customHeight="false" outlineLevel="0" collapsed="false">
      <c r="A136" s="5" t="s">
        <v>95</v>
      </c>
      <c r="B136" s="4" t="n">
        <v>2</v>
      </c>
      <c r="C136" s="4" t="s">
        <v>69</v>
      </c>
      <c r="D136" s="4"/>
      <c r="E136" s="4" t="s">
        <v>97</v>
      </c>
      <c r="F136" s="10" t="s">
        <v>79</v>
      </c>
    </row>
    <row r="137" customFormat="false" ht="15" hidden="false" customHeight="false" outlineLevel="0" collapsed="false">
      <c r="A137" s="5" t="s">
        <v>98</v>
      </c>
      <c r="B137" s="4" t="n">
        <v>1</v>
      </c>
      <c r="C137" s="4" t="s">
        <v>69</v>
      </c>
      <c r="D137" s="4"/>
      <c r="E137" s="4" t="s">
        <v>97</v>
      </c>
      <c r="F137" s="10" t="s">
        <v>79</v>
      </c>
    </row>
    <row r="138" customFormat="false" ht="15" hidden="false" customHeight="true" outlineLevel="0" collapsed="false">
      <c r="A138" s="3" t="s">
        <v>100</v>
      </c>
      <c r="B138" s="3" t="s">
        <v>101</v>
      </c>
      <c r="C138" s="3"/>
      <c r="D138" s="3"/>
      <c r="E138" s="3"/>
      <c r="F138" s="3"/>
    </row>
    <row r="139" customFormat="false" ht="30" hidden="false" customHeight="true" outlineLevel="0" collapsed="false">
      <c r="A139" s="4" t="n">
        <v>1</v>
      </c>
      <c r="B139" s="5" t="s">
        <v>225</v>
      </c>
      <c r="C139" s="5"/>
      <c r="D139" s="5"/>
      <c r="E139" s="5"/>
      <c r="F139" s="5"/>
    </row>
    <row r="140" customFormat="false" ht="18" hidden="false" customHeight="true" outlineLevel="0" collapsed="false">
      <c r="A140" s="4" t="n">
        <v>2</v>
      </c>
      <c r="B140" s="5" t="s">
        <v>226</v>
      </c>
      <c r="C140" s="5"/>
      <c r="D140" s="5"/>
      <c r="E140" s="5"/>
      <c r="F140" s="5"/>
    </row>
    <row r="141" customFormat="false" ht="30" hidden="false" customHeight="true" outlineLevel="0" collapsed="false">
      <c r="A141" s="4" t="n">
        <v>3</v>
      </c>
      <c r="B141" s="5" t="s">
        <v>227</v>
      </c>
      <c r="C141" s="5"/>
      <c r="D141" s="5"/>
      <c r="E141" s="5"/>
      <c r="F141" s="5"/>
    </row>
    <row r="142" customFormat="false" ht="18" hidden="false" customHeight="true" outlineLevel="0" collapsed="false">
      <c r="A142" s="4" t="n">
        <v>4</v>
      </c>
      <c r="B142" s="5" t="s">
        <v>228</v>
      </c>
      <c r="C142" s="5"/>
      <c r="D142" s="5"/>
      <c r="E142" s="5"/>
      <c r="F142" s="5"/>
    </row>
    <row r="143" customFormat="false" ht="18" hidden="false" customHeight="true" outlineLevel="0" collapsed="false">
      <c r="A143" s="4" t="n">
        <v>5</v>
      </c>
      <c r="B143" s="5" t="s">
        <v>229</v>
      </c>
      <c r="C143" s="5"/>
      <c r="D143" s="5"/>
      <c r="E143" s="5"/>
      <c r="F143" s="5"/>
    </row>
    <row r="144" customFormat="false" ht="18" hidden="false" customHeight="true" outlineLevel="0" collapsed="false">
      <c r="A144" s="4" t="n">
        <v>6</v>
      </c>
      <c r="B144" s="5" t="s">
        <v>230</v>
      </c>
      <c r="C144" s="5"/>
      <c r="D144" s="5"/>
      <c r="E144" s="5"/>
      <c r="F144" s="5"/>
    </row>
    <row r="145" customFormat="false" ht="18" hidden="false" customHeight="true" outlineLevel="0" collapsed="false">
      <c r="A145" s="4" t="n">
        <v>7</v>
      </c>
      <c r="B145" s="5" t="s">
        <v>231</v>
      </c>
      <c r="C145" s="5"/>
      <c r="D145" s="5"/>
      <c r="E145" s="5"/>
      <c r="F145" s="5"/>
    </row>
    <row r="146" customFormat="false" ht="30" hidden="false" customHeight="true" outlineLevel="0" collapsed="false">
      <c r="A146" s="4" t="n">
        <v>8</v>
      </c>
      <c r="B146" s="5" t="s">
        <v>232</v>
      </c>
      <c r="C146" s="5"/>
      <c r="D146" s="5"/>
      <c r="E146" s="5"/>
      <c r="F146" s="5"/>
    </row>
    <row r="148" customFormat="false" ht="16.15" hidden="false" customHeight="false" outlineLevel="0" collapsed="false">
      <c r="A148" s="1" t="s">
        <v>233</v>
      </c>
    </row>
    <row r="149" customFormat="false" ht="26.85" hidden="false" customHeight="true" outlineLevel="0" collapsed="false">
      <c r="A149" s="9" t="s">
        <v>54</v>
      </c>
      <c r="B149" s="5" t="s">
        <v>234</v>
      </c>
      <c r="C149" s="5"/>
      <c r="D149" s="5"/>
      <c r="E149" s="5"/>
      <c r="F149" s="5"/>
    </row>
    <row r="150" customFormat="false" ht="15" hidden="false" customHeight="true" outlineLevel="0" collapsed="false">
      <c r="A150" s="9" t="s">
        <v>56</v>
      </c>
      <c r="B150" s="5" t="s">
        <v>235</v>
      </c>
      <c r="C150" s="5"/>
      <c r="D150" s="5"/>
      <c r="E150" s="5"/>
      <c r="F150" s="5"/>
    </row>
    <row r="151" customFormat="false" ht="15" hidden="false" customHeight="true" outlineLevel="0" collapsed="false">
      <c r="A151" s="9" t="s">
        <v>58</v>
      </c>
      <c r="B151" s="5" t="s">
        <v>236</v>
      </c>
      <c r="C151" s="5"/>
      <c r="D151" s="5"/>
      <c r="E151" s="5"/>
      <c r="F151" s="5"/>
    </row>
    <row r="152" customFormat="false" ht="15" hidden="false" customHeight="true" outlineLevel="0" collapsed="false">
      <c r="A152" s="9" t="s">
        <v>60</v>
      </c>
      <c r="B152" s="5" t="s">
        <v>237</v>
      </c>
      <c r="C152" s="5"/>
      <c r="D152" s="5"/>
      <c r="E152" s="5"/>
      <c r="F152" s="5"/>
    </row>
    <row r="153" customFormat="false" ht="15" hidden="false" customHeight="false" outlineLevel="0" collapsed="false">
      <c r="A153" s="3" t="s">
        <v>62</v>
      </c>
      <c r="B153" s="3" t="s">
        <v>63</v>
      </c>
      <c r="C153" s="3" t="s">
        <v>64</v>
      </c>
      <c r="D153" s="3" t="s">
        <v>65</v>
      </c>
      <c r="E153" s="3" t="s">
        <v>66</v>
      </c>
      <c r="F153" s="3" t="s">
        <v>67</v>
      </c>
    </row>
    <row r="154" customFormat="false" ht="15" hidden="false" customHeight="false" outlineLevel="0" collapsed="false">
      <c r="A154" s="5" t="s">
        <v>238</v>
      </c>
      <c r="B154" s="4" t="n">
        <v>100</v>
      </c>
      <c r="C154" s="4" t="s">
        <v>69</v>
      </c>
      <c r="D154" s="4" t="s">
        <v>239</v>
      </c>
      <c r="E154" s="4" t="s">
        <v>240</v>
      </c>
      <c r="F154" s="4" t="s">
        <v>72</v>
      </c>
    </row>
    <row r="155" customFormat="false" ht="15" hidden="false" customHeight="false" outlineLevel="0" collapsed="false">
      <c r="A155" s="5" t="s">
        <v>241</v>
      </c>
      <c r="B155" s="4" t="n">
        <v>160</v>
      </c>
      <c r="C155" s="4" t="s">
        <v>69</v>
      </c>
      <c r="D155" s="4" t="s">
        <v>242</v>
      </c>
      <c r="E155" s="4" t="s">
        <v>243</v>
      </c>
      <c r="F155" s="4" t="s">
        <v>72</v>
      </c>
    </row>
    <row r="156" customFormat="false" ht="26.85" hidden="false" customHeight="false" outlineLevel="0" collapsed="false">
      <c r="A156" s="5" t="s">
        <v>244</v>
      </c>
      <c r="B156" s="4" t="n">
        <v>120</v>
      </c>
      <c r="C156" s="4" t="s">
        <v>69</v>
      </c>
      <c r="D156" s="4" t="s">
        <v>245</v>
      </c>
      <c r="E156" s="4" t="s">
        <v>124</v>
      </c>
      <c r="F156" s="4" t="s">
        <v>72</v>
      </c>
    </row>
    <row r="157" customFormat="false" ht="15" hidden="false" customHeight="false" outlineLevel="0" collapsed="false">
      <c r="A157" s="5" t="s">
        <v>246</v>
      </c>
      <c r="B157" s="4" t="n">
        <v>150</v>
      </c>
      <c r="C157" s="4" t="s">
        <v>69</v>
      </c>
      <c r="D157" s="4" t="s">
        <v>247</v>
      </c>
      <c r="E157" s="4" t="s">
        <v>246</v>
      </c>
      <c r="F157" s="4" t="s">
        <v>72</v>
      </c>
    </row>
    <row r="158" customFormat="false" ht="15" hidden="false" customHeight="false" outlineLevel="0" collapsed="false">
      <c r="A158" s="5" t="s">
        <v>143</v>
      </c>
      <c r="B158" s="4" t="n">
        <v>100</v>
      </c>
      <c r="C158" s="4" t="s">
        <v>69</v>
      </c>
      <c r="D158" s="4" t="s">
        <v>248</v>
      </c>
      <c r="E158" s="4" t="s">
        <v>145</v>
      </c>
      <c r="F158" s="4" t="s">
        <v>72</v>
      </c>
    </row>
    <row r="159" customFormat="false" ht="15" hidden="false" customHeight="false" outlineLevel="0" collapsed="false">
      <c r="A159" s="5" t="s">
        <v>168</v>
      </c>
      <c r="B159" s="4" t="n">
        <v>14</v>
      </c>
      <c r="C159" s="4" t="s">
        <v>74</v>
      </c>
      <c r="D159" s="4" t="s">
        <v>249</v>
      </c>
      <c r="E159" s="4" t="s">
        <v>90</v>
      </c>
      <c r="F159" s="10" t="s">
        <v>79</v>
      </c>
    </row>
    <row r="160" customFormat="false" ht="15" hidden="false" customHeight="false" outlineLevel="0" collapsed="false">
      <c r="A160" s="5" t="s">
        <v>250</v>
      </c>
      <c r="B160" s="4" t="n">
        <v>4</v>
      </c>
      <c r="C160" s="4" t="s">
        <v>74</v>
      </c>
      <c r="D160" s="4" t="s">
        <v>251</v>
      </c>
      <c r="E160" s="4" t="s">
        <v>252</v>
      </c>
      <c r="F160" s="10" t="s">
        <v>79</v>
      </c>
    </row>
    <row r="161" customFormat="false" ht="15" hidden="false" customHeight="false" outlineLevel="0" collapsed="false">
      <c r="A161" s="5" t="s">
        <v>95</v>
      </c>
      <c r="B161" s="4" t="n">
        <v>1</v>
      </c>
      <c r="C161" s="4" t="s">
        <v>69</v>
      </c>
      <c r="D161" s="4"/>
      <c r="E161" s="4" t="s">
        <v>97</v>
      </c>
      <c r="F161" s="10" t="s">
        <v>79</v>
      </c>
    </row>
    <row r="162" customFormat="false" ht="15" hidden="false" customHeight="false" outlineLevel="0" collapsed="false">
      <c r="A162" s="5" t="s">
        <v>98</v>
      </c>
      <c r="B162" s="4" t="n">
        <v>1</v>
      </c>
      <c r="C162" s="4" t="s">
        <v>69</v>
      </c>
      <c r="D162" s="4"/>
      <c r="E162" s="4" t="s">
        <v>97</v>
      </c>
      <c r="F162" s="10" t="s">
        <v>79</v>
      </c>
    </row>
    <row r="163" customFormat="false" ht="15" hidden="false" customHeight="true" outlineLevel="0" collapsed="false">
      <c r="A163" s="3" t="s">
        <v>100</v>
      </c>
      <c r="B163" s="3" t="s">
        <v>101</v>
      </c>
      <c r="C163" s="3"/>
      <c r="D163" s="3"/>
      <c r="E163" s="3"/>
      <c r="F163" s="3"/>
    </row>
    <row r="164" customFormat="false" ht="18" hidden="false" customHeight="true" outlineLevel="0" collapsed="false">
      <c r="A164" s="4" t="n">
        <v>1</v>
      </c>
      <c r="B164" s="5" t="s">
        <v>253</v>
      </c>
      <c r="C164" s="5"/>
      <c r="D164" s="5"/>
      <c r="E164" s="5"/>
      <c r="F164" s="5"/>
    </row>
    <row r="165" customFormat="false" ht="30" hidden="false" customHeight="true" outlineLevel="0" collapsed="false">
      <c r="A165" s="4" t="n">
        <v>2</v>
      </c>
      <c r="B165" s="5" t="s">
        <v>254</v>
      </c>
      <c r="C165" s="5"/>
      <c r="D165" s="5"/>
      <c r="E165" s="5"/>
      <c r="F165" s="5"/>
    </row>
    <row r="166" customFormat="false" ht="30" hidden="false" customHeight="true" outlineLevel="0" collapsed="false">
      <c r="A166" s="4" t="n">
        <v>3</v>
      </c>
      <c r="B166" s="5" t="s">
        <v>255</v>
      </c>
      <c r="C166" s="5"/>
      <c r="D166" s="5"/>
      <c r="E166" s="5"/>
      <c r="F166" s="5"/>
    </row>
    <row r="167" customFormat="false" ht="30" hidden="false" customHeight="true" outlineLevel="0" collapsed="false">
      <c r="A167" s="4" t="n">
        <v>4</v>
      </c>
      <c r="B167" s="5" t="s">
        <v>256</v>
      </c>
      <c r="C167" s="5"/>
      <c r="D167" s="5"/>
      <c r="E167" s="5"/>
      <c r="F167" s="5"/>
    </row>
    <row r="168" customFormat="false" ht="30" hidden="false" customHeight="true" outlineLevel="0" collapsed="false">
      <c r="A168" s="4" t="n">
        <v>5</v>
      </c>
      <c r="B168" s="5" t="s">
        <v>257</v>
      </c>
      <c r="C168" s="5"/>
      <c r="D168" s="5"/>
      <c r="E168" s="5"/>
      <c r="F168" s="5"/>
    </row>
    <row r="169" customFormat="false" ht="45" hidden="false" customHeight="true" outlineLevel="0" collapsed="false">
      <c r="A169" s="4" t="n">
        <v>6</v>
      </c>
      <c r="B169" s="5" t="s">
        <v>258</v>
      </c>
      <c r="C169" s="5"/>
      <c r="D169" s="5"/>
      <c r="E169" s="5"/>
      <c r="F169" s="5"/>
    </row>
    <row r="171" customFormat="false" ht="16.15" hidden="false" customHeight="false" outlineLevel="0" collapsed="false">
      <c r="A171" s="1" t="s">
        <v>259</v>
      </c>
    </row>
    <row r="172" customFormat="false" ht="26.85" hidden="false" customHeight="true" outlineLevel="0" collapsed="false">
      <c r="A172" s="9" t="s">
        <v>54</v>
      </c>
      <c r="B172" s="5" t="s">
        <v>260</v>
      </c>
      <c r="C172" s="5"/>
      <c r="D172" s="5"/>
      <c r="E172" s="5"/>
      <c r="F172" s="5"/>
    </row>
    <row r="173" customFormat="false" ht="15" hidden="false" customHeight="true" outlineLevel="0" collapsed="false">
      <c r="A173" s="9" t="s">
        <v>56</v>
      </c>
      <c r="B173" s="5" t="s">
        <v>189</v>
      </c>
      <c r="C173" s="5"/>
      <c r="D173" s="5"/>
      <c r="E173" s="5"/>
      <c r="F173" s="5"/>
    </row>
    <row r="174" customFormat="false" ht="15" hidden="false" customHeight="true" outlineLevel="0" collapsed="false">
      <c r="A174" s="9" t="s">
        <v>58</v>
      </c>
      <c r="B174" s="5" t="s">
        <v>113</v>
      </c>
      <c r="C174" s="5"/>
      <c r="D174" s="5"/>
      <c r="E174" s="5"/>
      <c r="F174" s="5"/>
    </row>
    <row r="175" customFormat="false" ht="15" hidden="false" customHeight="true" outlineLevel="0" collapsed="false">
      <c r="A175" s="9" t="s">
        <v>60</v>
      </c>
      <c r="B175" s="5" t="s">
        <v>61</v>
      </c>
      <c r="C175" s="5"/>
      <c r="D175" s="5"/>
      <c r="E175" s="5"/>
      <c r="F175" s="5"/>
    </row>
    <row r="176" customFormat="false" ht="15" hidden="false" customHeight="false" outlineLevel="0" collapsed="false">
      <c r="A176" s="3" t="s">
        <v>62</v>
      </c>
      <c r="B176" s="3" t="s">
        <v>63</v>
      </c>
      <c r="C176" s="3" t="s">
        <v>64</v>
      </c>
      <c r="D176" s="3" t="s">
        <v>65</v>
      </c>
      <c r="E176" s="3" t="s">
        <v>66</v>
      </c>
      <c r="F176" s="3" t="s">
        <v>67</v>
      </c>
    </row>
    <row r="177" customFormat="false" ht="15" hidden="false" customHeight="false" outlineLevel="0" collapsed="false">
      <c r="A177" s="5" t="s">
        <v>261</v>
      </c>
      <c r="B177" s="4" t="n">
        <v>250</v>
      </c>
      <c r="C177" s="4" t="s">
        <v>69</v>
      </c>
      <c r="D177" s="4" t="s">
        <v>147</v>
      </c>
      <c r="E177" s="4" t="s">
        <v>191</v>
      </c>
      <c r="F177" s="4" t="s">
        <v>72</v>
      </c>
    </row>
    <row r="178" customFormat="false" ht="15" hidden="false" customHeight="false" outlineLevel="0" collapsed="false">
      <c r="A178" s="5" t="s">
        <v>68</v>
      </c>
      <c r="B178" s="4" t="n">
        <v>200</v>
      </c>
      <c r="C178" s="4" t="s">
        <v>69</v>
      </c>
      <c r="D178" s="4" t="s">
        <v>262</v>
      </c>
      <c r="E178" s="4" t="s">
        <v>71</v>
      </c>
      <c r="F178" s="4" t="s">
        <v>72</v>
      </c>
    </row>
    <row r="179" customFormat="false" ht="15" hidden="false" customHeight="false" outlineLevel="0" collapsed="false">
      <c r="A179" s="5" t="s">
        <v>263</v>
      </c>
      <c r="B179" s="4" t="n">
        <v>30</v>
      </c>
      <c r="C179" s="4" t="s">
        <v>74</v>
      </c>
      <c r="D179" s="4" t="s">
        <v>89</v>
      </c>
      <c r="E179" s="4" t="s">
        <v>145</v>
      </c>
      <c r="F179" s="4" t="s">
        <v>72</v>
      </c>
    </row>
    <row r="180" customFormat="false" ht="15" hidden="false" customHeight="false" outlineLevel="0" collapsed="false">
      <c r="A180" s="5" t="s">
        <v>264</v>
      </c>
      <c r="B180" s="4" t="n">
        <v>100</v>
      </c>
      <c r="C180" s="4" t="s">
        <v>74</v>
      </c>
      <c r="D180" s="4" t="s">
        <v>265</v>
      </c>
      <c r="E180" s="4" t="s">
        <v>266</v>
      </c>
      <c r="F180" s="4" t="s">
        <v>72</v>
      </c>
    </row>
    <row r="181" customFormat="false" ht="15" hidden="false" customHeight="false" outlineLevel="0" collapsed="false">
      <c r="A181" s="5" t="s">
        <v>267</v>
      </c>
      <c r="B181" s="4" t="n">
        <v>60</v>
      </c>
      <c r="C181" s="4" t="s">
        <v>69</v>
      </c>
      <c r="D181" s="4" t="s">
        <v>268</v>
      </c>
      <c r="E181" s="4" t="s">
        <v>269</v>
      </c>
      <c r="F181" s="11" t="s">
        <v>94</v>
      </c>
    </row>
    <row r="182" customFormat="false" ht="15" hidden="false" customHeight="false" outlineLevel="0" collapsed="false">
      <c r="A182" s="5" t="s">
        <v>88</v>
      </c>
      <c r="B182" s="4" t="n">
        <v>10</v>
      </c>
      <c r="C182" s="4" t="s">
        <v>74</v>
      </c>
      <c r="D182" s="4" t="s">
        <v>81</v>
      </c>
      <c r="E182" s="4" t="s">
        <v>90</v>
      </c>
      <c r="F182" s="10" t="s">
        <v>79</v>
      </c>
    </row>
    <row r="183" customFormat="false" ht="15" hidden="false" customHeight="false" outlineLevel="0" collapsed="false">
      <c r="A183" s="5" t="s">
        <v>95</v>
      </c>
      <c r="B183" s="4" t="n">
        <v>2</v>
      </c>
      <c r="C183" s="4" t="s">
        <v>69</v>
      </c>
      <c r="D183" s="4" t="s">
        <v>270</v>
      </c>
      <c r="E183" s="4" t="s">
        <v>97</v>
      </c>
      <c r="F183" s="10" t="s">
        <v>79</v>
      </c>
    </row>
    <row r="184" customFormat="false" ht="15" hidden="false" customHeight="false" outlineLevel="0" collapsed="false">
      <c r="A184" s="5" t="s">
        <v>98</v>
      </c>
      <c r="B184" s="4" t="n">
        <v>1</v>
      </c>
      <c r="C184" s="4" t="s">
        <v>69</v>
      </c>
      <c r="D184" s="4"/>
      <c r="E184" s="4" t="s">
        <v>97</v>
      </c>
      <c r="F184" s="10" t="s">
        <v>79</v>
      </c>
    </row>
    <row r="185" customFormat="false" ht="15" hidden="false" customHeight="true" outlineLevel="0" collapsed="false">
      <c r="A185" s="3" t="s">
        <v>100</v>
      </c>
      <c r="B185" s="3" t="s">
        <v>101</v>
      </c>
      <c r="C185" s="3"/>
      <c r="D185" s="3"/>
      <c r="E185" s="3"/>
      <c r="F185" s="3"/>
    </row>
    <row r="186" customFormat="false" ht="18" hidden="false" customHeight="true" outlineLevel="0" collapsed="false">
      <c r="A186" s="4" t="n">
        <v>1</v>
      </c>
      <c r="B186" s="5" t="s">
        <v>271</v>
      </c>
      <c r="C186" s="5"/>
      <c r="D186" s="5"/>
      <c r="E186" s="5"/>
      <c r="F186" s="5"/>
    </row>
    <row r="187" customFormat="false" ht="18" hidden="false" customHeight="true" outlineLevel="0" collapsed="false">
      <c r="A187" s="4" t="n">
        <v>2</v>
      </c>
      <c r="B187" s="5" t="s">
        <v>272</v>
      </c>
      <c r="C187" s="5"/>
      <c r="D187" s="5"/>
      <c r="E187" s="5"/>
      <c r="F187" s="5"/>
    </row>
    <row r="188" customFormat="false" ht="30" hidden="false" customHeight="true" outlineLevel="0" collapsed="false">
      <c r="A188" s="4" t="n">
        <v>3</v>
      </c>
      <c r="B188" s="5" t="s">
        <v>273</v>
      </c>
      <c r="C188" s="5"/>
      <c r="D188" s="5"/>
      <c r="E188" s="5"/>
      <c r="F188" s="5"/>
    </row>
    <row r="189" customFormat="false" ht="18" hidden="false" customHeight="true" outlineLevel="0" collapsed="false">
      <c r="A189" s="4" t="n">
        <v>4</v>
      </c>
      <c r="B189" s="5" t="s">
        <v>274</v>
      </c>
      <c r="C189" s="5"/>
      <c r="D189" s="5"/>
      <c r="E189" s="5"/>
      <c r="F189" s="5"/>
    </row>
    <row r="190" customFormat="false" ht="18" hidden="false" customHeight="true" outlineLevel="0" collapsed="false">
      <c r="A190" s="4" t="n">
        <v>5</v>
      </c>
      <c r="B190" s="5" t="s">
        <v>275</v>
      </c>
      <c r="C190" s="5"/>
      <c r="D190" s="5"/>
      <c r="E190" s="5"/>
      <c r="F190" s="5"/>
    </row>
    <row r="191" customFormat="false" ht="30" hidden="false" customHeight="true" outlineLevel="0" collapsed="false">
      <c r="A191" s="4" t="n">
        <v>6</v>
      </c>
      <c r="B191" s="5" t="s">
        <v>276</v>
      </c>
      <c r="C191" s="5"/>
      <c r="D191" s="5"/>
      <c r="E191" s="5"/>
      <c r="F191" s="5"/>
    </row>
    <row r="193" customFormat="false" ht="16.15" hidden="false" customHeight="false" outlineLevel="0" collapsed="false">
      <c r="A193" s="1" t="s">
        <v>277</v>
      </c>
    </row>
    <row r="194" customFormat="false" ht="15" hidden="false" customHeight="true" outlineLevel="0" collapsed="false">
      <c r="A194" s="9" t="s">
        <v>54</v>
      </c>
      <c r="B194" s="5" t="s">
        <v>278</v>
      </c>
      <c r="C194" s="5"/>
      <c r="D194" s="5"/>
      <c r="E194" s="5"/>
      <c r="F194" s="5"/>
    </row>
    <row r="195" customFormat="false" ht="15" hidden="false" customHeight="true" outlineLevel="0" collapsed="false">
      <c r="A195" s="9" t="s">
        <v>56</v>
      </c>
      <c r="B195" s="5" t="s">
        <v>158</v>
      </c>
      <c r="C195" s="5"/>
      <c r="D195" s="5"/>
      <c r="E195" s="5"/>
      <c r="F195" s="5"/>
    </row>
    <row r="196" customFormat="false" ht="15" hidden="false" customHeight="true" outlineLevel="0" collapsed="false">
      <c r="A196" s="9" t="s">
        <v>58</v>
      </c>
      <c r="B196" s="5" t="s">
        <v>279</v>
      </c>
      <c r="C196" s="5"/>
      <c r="D196" s="5"/>
      <c r="E196" s="5"/>
      <c r="F196" s="5"/>
    </row>
    <row r="197" customFormat="false" ht="15" hidden="false" customHeight="true" outlineLevel="0" collapsed="false">
      <c r="A197" s="9" t="s">
        <v>60</v>
      </c>
      <c r="B197" s="5" t="s">
        <v>280</v>
      </c>
      <c r="C197" s="5"/>
      <c r="D197" s="5"/>
      <c r="E197" s="5"/>
      <c r="F197" s="5"/>
    </row>
    <row r="198" customFormat="false" ht="15" hidden="false" customHeight="false" outlineLevel="0" collapsed="false">
      <c r="A198" s="3" t="s">
        <v>62</v>
      </c>
      <c r="B198" s="3" t="s">
        <v>63</v>
      </c>
      <c r="C198" s="3" t="s">
        <v>64</v>
      </c>
      <c r="D198" s="3" t="s">
        <v>65</v>
      </c>
      <c r="E198" s="3" t="s">
        <v>66</v>
      </c>
      <c r="F198" s="3" t="s">
        <v>67</v>
      </c>
    </row>
    <row r="199" customFormat="false" ht="15" hidden="false" customHeight="false" outlineLevel="0" collapsed="false">
      <c r="A199" s="5" t="s">
        <v>281</v>
      </c>
      <c r="B199" s="4" t="n">
        <v>120</v>
      </c>
      <c r="C199" s="4" t="s">
        <v>69</v>
      </c>
      <c r="D199" s="4" t="s">
        <v>282</v>
      </c>
      <c r="E199" s="4" t="s">
        <v>240</v>
      </c>
      <c r="F199" s="4" t="s">
        <v>72</v>
      </c>
    </row>
    <row r="200" customFormat="false" ht="15" hidden="false" customHeight="false" outlineLevel="0" collapsed="false">
      <c r="A200" s="5" t="s">
        <v>283</v>
      </c>
      <c r="B200" s="4" t="n">
        <v>50</v>
      </c>
      <c r="C200" s="4" t="s">
        <v>69</v>
      </c>
      <c r="D200" s="4" t="s">
        <v>284</v>
      </c>
      <c r="E200" s="4" t="s">
        <v>285</v>
      </c>
      <c r="F200" s="4" t="s">
        <v>72</v>
      </c>
    </row>
    <row r="201" customFormat="false" ht="15" hidden="false" customHeight="false" outlineLevel="0" collapsed="false">
      <c r="A201" s="5" t="s">
        <v>285</v>
      </c>
      <c r="B201" s="4" t="n">
        <v>50</v>
      </c>
      <c r="C201" s="4" t="s">
        <v>69</v>
      </c>
      <c r="D201" s="4" t="s">
        <v>284</v>
      </c>
      <c r="E201" s="4" t="s">
        <v>285</v>
      </c>
      <c r="F201" s="4" t="s">
        <v>72</v>
      </c>
    </row>
    <row r="202" customFormat="false" ht="15" hidden="false" customHeight="false" outlineLevel="0" collapsed="false">
      <c r="A202" s="5" t="s">
        <v>117</v>
      </c>
      <c r="B202" s="4" t="n">
        <v>80</v>
      </c>
      <c r="C202" s="4" t="s">
        <v>69</v>
      </c>
      <c r="D202" s="4" t="s">
        <v>211</v>
      </c>
      <c r="E202" s="4" t="s">
        <v>119</v>
      </c>
      <c r="F202" s="4" t="s">
        <v>72</v>
      </c>
    </row>
    <row r="203" customFormat="false" ht="15" hidden="false" customHeight="false" outlineLevel="0" collapsed="false">
      <c r="A203" s="5" t="s">
        <v>91</v>
      </c>
      <c r="B203" s="4" t="n">
        <v>180</v>
      </c>
      <c r="C203" s="4" t="s">
        <v>69</v>
      </c>
      <c r="D203" s="4" t="s">
        <v>286</v>
      </c>
      <c r="E203" s="4" t="s">
        <v>93</v>
      </c>
      <c r="F203" s="4" t="s">
        <v>72</v>
      </c>
    </row>
    <row r="204" customFormat="false" ht="15" hidden="false" customHeight="false" outlineLevel="0" collapsed="false">
      <c r="A204" s="5" t="s">
        <v>287</v>
      </c>
      <c r="B204" s="4" t="n">
        <v>6</v>
      </c>
      <c r="C204" s="4" t="s">
        <v>69</v>
      </c>
      <c r="D204" s="4" t="s">
        <v>288</v>
      </c>
      <c r="E204" s="4" t="s">
        <v>221</v>
      </c>
      <c r="F204" s="4" t="s">
        <v>72</v>
      </c>
    </row>
    <row r="205" customFormat="false" ht="15" hidden="false" customHeight="false" outlineLevel="0" collapsed="false">
      <c r="A205" s="5" t="s">
        <v>174</v>
      </c>
      <c r="B205" s="4" t="n">
        <v>400</v>
      </c>
      <c r="C205" s="4" t="s">
        <v>74</v>
      </c>
      <c r="D205" s="4" t="s">
        <v>175</v>
      </c>
      <c r="E205" s="4" t="s">
        <v>174</v>
      </c>
      <c r="F205" s="4" t="s">
        <v>72</v>
      </c>
    </row>
    <row r="206" customFormat="false" ht="15" hidden="false" customHeight="false" outlineLevel="0" collapsed="false">
      <c r="A206" s="5" t="s">
        <v>88</v>
      </c>
      <c r="B206" s="4" t="n">
        <v>20</v>
      </c>
      <c r="C206" s="4" t="s">
        <v>74</v>
      </c>
      <c r="D206" s="4" t="s">
        <v>169</v>
      </c>
      <c r="E206" s="4" t="s">
        <v>90</v>
      </c>
      <c r="F206" s="10" t="s">
        <v>79</v>
      </c>
    </row>
    <row r="207" customFormat="false" ht="15" hidden="false" customHeight="false" outlineLevel="0" collapsed="false">
      <c r="A207" s="5" t="s">
        <v>95</v>
      </c>
      <c r="B207" s="4" t="n">
        <v>1</v>
      </c>
      <c r="C207" s="4" t="s">
        <v>69</v>
      </c>
      <c r="D207" s="4" t="s">
        <v>289</v>
      </c>
      <c r="E207" s="4" t="s">
        <v>97</v>
      </c>
      <c r="F207" s="10" t="s">
        <v>79</v>
      </c>
    </row>
    <row r="208" customFormat="false" ht="15" hidden="false" customHeight="false" outlineLevel="0" collapsed="false">
      <c r="A208" s="5" t="s">
        <v>98</v>
      </c>
      <c r="B208" s="4" t="n">
        <v>1</v>
      </c>
      <c r="C208" s="4" t="s">
        <v>69</v>
      </c>
      <c r="D208" s="4"/>
      <c r="E208" s="4" t="s">
        <v>97</v>
      </c>
      <c r="F208" s="10" t="s">
        <v>79</v>
      </c>
    </row>
    <row r="209" customFormat="false" ht="15" hidden="false" customHeight="true" outlineLevel="0" collapsed="false">
      <c r="A209" s="3" t="s">
        <v>100</v>
      </c>
      <c r="B209" s="3" t="s">
        <v>101</v>
      </c>
      <c r="C209" s="3"/>
      <c r="D209" s="3"/>
      <c r="E209" s="3"/>
      <c r="F209" s="3"/>
    </row>
    <row r="210" customFormat="false" ht="30" hidden="false" customHeight="true" outlineLevel="0" collapsed="false">
      <c r="A210" s="4" t="n">
        <v>1</v>
      </c>
      <c r="B210" s="5" t="s">
        <v>290</v>
      </c>
      <c r="C210" s="5"/>
      <c r="D210" s="5"/>
      <c r="E210" s="5"/>
      <c r="F210" s="5"/>
    </row>
    <row r="211" customFormat="false" ht="18" hidden="false" customHeight="true" outlineLevel="0" collapsed="false">
      <c r="A211" s="4" t="n">
        <v>2</v>
      </c>
      <c r="B211" s="5" t="s">
        <v>291</v>
      </c>
      <c r="C211" s="5"/>
      <c r="D211" s="5"/>
      <c r="E211" s="5"/>
      <c r="F211" s="5"/>
    </row>
    <row r="212" customFormat="false" ht="30" hidden="false" customHeight="true" outlineLevel="0" collapsed="false">
      <c r="A212" s="4" t="n">
        <v>3</v>
      </c>
      <c r="B212" s="5" t="s">
        <v>292</v>
      </c>
      <c r="C212" s="5"/>
      <c r="D212" s="5"/>
      <c r="E212" s="5"/>
      <c r="F212" s="5"/>
    </row>
    <row r="213" customFormat="false" ht="30" hidden="false" customHeight="true" outlineLevel="0" collapsed="false">
      <c r="A213" s="4" t="n">
        <v>4</v>
      </c>
      <c r="B213" s="5" t="s">
        <v>293</v>
      </c>
      <c r="C213" s="5"/>
      <c r="D213" s="5"/>
      <c r="E213" s="5"/>
      <c r="F213" s="5"/>
    </row>
    <row r="214" customFormat="false" ht="18" hidden="false" customHeight="true" outlineLevel="0" collapsed="false">
      <c r="A214" s="4" t="n">
        <v>5</v>
      </c>
      <c r="B214" s="5" t="s">
        <v>294</v>
      </c>
      <c r="C214" s="5"/>
      <c r="D214" s="5"/>
      <c r="E214" s="5"/>
      <c r="F214" s="5"/>
    </row>
    <row r="215" customFormat="false" ht="18" hidden="false" customHeight="true" outlineLevel="0" collapsed="false">
      <c r="A215" s="4" t="n">
        <v>6</v>
      </c>
      <c r="B215" s="5" t="s">
        <v>295</v>
      </c>
      <c r="C215" s="5"/>
      <c r="D215" s="5"/>
      <c r="E215" s="5"/>
      <c r="F215" s="5"/>
    </row>
    <row r="216" customFormat="false" ht="18" hidden="false" customHeight="true" outlineLevel="0" collapsed="false">
      <c r="A216" s="4" t="n">
        <v>7</v>
      </c>
      <c r="B216" s="5" t="s">
        <v>296</v>
      </c>
      <c r="C216" s="5"/>
      <c r="D216" s="5"/>
      <c r="E216" s="5"/>
      <c r="F216" s="5"/>
    </row>
    <row r="218" customFormat="false" ht="16.15" hidden="false" customHeight="false" outlineLevel="0" collapsed="false">
      <c r="A218" s="1" t="s">
        <v>297</v>
      </c>
    </row>
    <row r="219" customFormat="false" ht="26.85" hidden="false" customHeight="true" outlineLevel="0" collapsed="false">
      <c r="A219" s="9" t="s">
        <v>54</v>
      </c>
      <c r="B219" s="5" t="s">
        <v>298</v>
      </c>
      <c r="C219" s="5"/>
      <c r="D219" s="5"/>
      <c r="E219" s="5"/>
      <c r="F219" s="5"/>
    </row>
    <row r="220" customFormat="false" ht="15" hidden="false" customHeight="true" outlineLevel="0" collapsed="false">
      <c r="A220" s="9" t="s">
        <v>56</v>
      </c>
      <c r="B220" s="5" t="s">
        <v>299</v>
      </c>
      <c r="C220" s="5"/>
      <c r="D220" s="5"/>
      <c r="E220" s="5"/>
      <c r="F220" s="5"/>
    </row>
    <row r="221" customFormat="false" ht="15" hidden="false" customHeight="true" outlineLevel="0" collapsed="false">
      <c r="A221" s="9" t="s">
        <v>58</v>
      </c>
      <c r="B221" s="5" t="s">
        <v>300</v>
      </c>
      <c r="C221" s="5"/>
      <c r="D221" s="5"/>
      <c r="E221" s="5"/>
      <c r="F221" s="5"/>
    </row>
    <row r="222" customFormat="false" ht="26.85" hidden="false" customHeight="true" outlineLevel="0" collapsed="false">
      <c r="A222" s="9" t="s">
        <v>60</v>
      </c>
      <c r="B222" s="5" t="s">
        <v>301</v>
      </c>
      <c r="C222" s="5"/>
      <c r="D222" s="5"/>
      <c r="E222" s="5"/>
      <c r="F222" s="5"/>
    </row>
    <row r="223" customFormat="false" ht="15" hidden="false" customHeight="false" outlineLevel="0" collapsed="false">
      <c r="A223" s="3" t="s">
        <v>62</v>
      </c>
      <c r="B223" s="3" t="s">
        <v>63</v>
      </c>
      <c r="C223" s="3" t="s">
        <v>64</v>
      </c>
      <c r="D223" s="3" t="s">
        <v>65</v>
      </c>
      <c r="E223" s="3" t="s">
        <v>66</v>
      </c>
      <c r="F223" s="3" t="s">
        <v>67</v>
      </c>
    </row>
    <row r="224" customFormat="false" ht="15" hidden="false" customHeight="false" outlineLevel="0" collapsed="false">
      <c r="A224" s="5" t="s">
        <v>302</v>
      </c>
      <c r="B224" s="4" t="n">
        <v>300</v>
      </c>
      <c r="C224" s="4" t="s">
        <v>69</v>
      </c>
      <c r="D224" s="4" t="s">
        <v>303</v>
      </c>
      <c r="E224" s="4" t="s">
        <v>302</v>
      </c>
      <c r="F224" s="4" t="s">
        <v>72</v>
      </c>
    </row>
    <row r="225" customFormat="false" ht="15" hidden="false" customHeight="false" outlineLevel="0" collapsed="false">
      <c r="A225" s="5" t="s">
        <v>304</v>
      </c>
      <c r="B225" s="4" t="n">
        <v>30</v>
      </c>
      <c r="C225" s="4" t="s">
        <v>69</v>
      </c>
      <c r="D225" s="4" t="s">
        <v>89</v>
      </c>
      <c r="E225" s="4" t="s">
        <v>304</v>
      </c>
      <c r="F225" s="4" t="s">
        <v>72</v>
      </c>
    </row>
    <row r="226" customFormat="false" ht="15" hidden="false" customHeight="false" outlineLevel="0" collapsed="false">
      <c r="A226" s="5" t="s">
        <v>143</v>
      </c>
      <c r="B226" s="4" t="n">
        <v>80</v>
      </c>
      <c r="C226" s="4" t="s">
        <v>69</v>
      </c>
      <c r="D226" s="4" t="s">
        <v>305</v>
      </c>
      <c r="E226" s="4" t="s">
        <v>145</v>
      </c>
      <c r="F226" s="4" t="s">
        <v>72</v>
      </c>
    </row>
    <row r="227" customFormat="false" ht="15" hidden="false" customHeight="false" outlineLevel="0" collapsed="false">
      <c r="A227" s="5" t="s">
        <v>306</v>
      </c>
      <c r="B227" s="4" t="n">
        <v>20</v>
      </c>
      <c r="C227" s="4" t="s">
        <v>69</v>
      </c>
      <c r="D227" s="4" t="s">
        <v>307</v>
      </c>
      <c r="E227" s="4" t="s">
        <v>308</v>
      </c>
      <c r="F227" s="4" t="s">
        <v>72</v>
      </c>
    </row>
    <row r="228" customFormat="false" ht="15" hidden="false" customHeight="false" outlineLevel="0" collapsed="false">
      <c r="A228" s="5" t="s">
        <v>223</v>
      </c>
      <c r="B228" s="4" t="n">
        <v>200</v>
      </c>
      <c r="C228" s="4" t="s">
        <v>69</v>
      </c>
      <c r="D228" s="4" t="s">
        <v>309</v>
      </c>
      <c r="E228" s="4" t="s">
        <v>191</v>
      </c>
      <c r="F228" s="11" t="s">
        <v>94</v>
      </c>
    </row>
    <row r="229" customFormat="false" ht="15" hidden="false" customHeight="false" outlineLevel="0" collapsed="false">
      <c r="A229" s="5" t="s">
        <v>98</v>
      </c>
      <c r="B229" s="4" t="n">
        <v>2</v>
      </c>
      <c r="C229" s="4" t="s">
        <v>69</v>
      </c>
      <c r="D229" s="4"/>
      <c r="E229" s="4" t="s">
        <v>97</v>
      </c>
      <c r="F229" s="10" t="s">
        <v>79</v>
      </c>
    </row>
    <row r="230" customFormat="false" ht="15" hidden="false" customHeight="false" outlineLevel="0" collapsed="false">
      <c r="A230" s="5" t="s">
        <v>95</v>
      </c>
      <c r="B230" s="4" t="n">
        <v>0</v>
      </c>
      <c r="C230" s="4" t="s">
        <v>69</v>
      </c>
      <c r="D230" s="4" t="s">
        <v>310</v>
      </c>
      <c r="E230" s="4" t="s">
        <v>97</v>
      </c>
      <c r="F230" s="10" t="s">
        <v>79</v>
      </c>
    </row>
    <row r="231" customFormat="false" ht="15" hidden="false" customHeight="true" outlineLevel="0" collapsed="false">
      <c r="A231" s="3" t="s">
        <v>100</v>
      </c>
      <c r="B231" s="3" t="s">
        <v>101</v>
      </c>
      <c r="C231" s="3"/>
      <c r="D231" s="3"/>
      <c r="E231" s="3"/>
      <c r="F231" s="3"/>
    </row>
    <row r="232" customFormat="false" ht="18" hidden="false" customHeight="true" outlineLevel="0" collapsed="false">
      <c r="A232" s="4" t="n">
        <v>1</v>
      </c>
      <c r="B232" s="5" t="s">
        <v>311</v>
      </c>
      <c r="C232" s="5"/>
      <c r="D232" s="5"/>
      <c r="E232" s="5"/>
      <c r="F232" s="5"/>
    </row>
    <row r="233" customFormat="false" ht="30" hidden="false" customHeight="true" outlineLevel="0" collapsed="false">
      <c r="A233" s="4" t="n">
        <v>2</v>
      </c>
      <c r="B233" s="5" t="s">
        <v>312</v>
      </c>
      <c r="C233" s="5"/>
      <c r="D233" s="5"/>
      <c r="E233" s="5"/>
      <c r="F233" s="5"/>
    </row>
    <row r="234" customFormat="false" ht="30" hidden="false" customHeight="true" outlineLevel="0" collapsed="false">
      <c r="A234" s="4" t="n">
        <v>3</v>
      </c>
      <c r="B234" s="5" t="s">
        <v>313</v>
      </c>
      <c r="C234" s="5"/>
      <c r="D234" s="5"/>
      <c r="E234" s="5"/>
      <c r="F234" s="5"/>
    </row>
    <row r="235" customFormat="false" ht="18" hidden="false" customHeight="true" outlineLevel="0" collapsed="false">
      <c r="A235" s="4" t="n">
        <v>4</v>
      </c>
      <c r="B235" s="5" t="s">
        <v>314</v>
      </c>
      <c r="C235" s="5"/>
      <c r="D235" s="5"/>
      <c r="E235" s="5"/>
      <c r="F235" s="5"/>
    </row>
    <row r="236" customFormat="false" ht="18" hidden="false" customHeight="true" outlineLevel="0" collapsed="false">
      <c r="A236" s="4" t="n">
        <v>5</v>
      </c>
      <c r="B236" s="5" t="s">
        <v>315</v>
      </c>
      <c r="C236" s="5"/>
      <c r="D236" s="5"/>
      <c r="E236" s="5"/>
      <c r="F236" s="5"/>
    </row>
    <row r="237" customFormat="false" ht="45" hidden="false" customHeight="true" outlineLevel="0" collapsed="false">
      <c r="A237" s="4" t="n">
        <v>6</v>
      </c>
      <c r="B237" s="5" t="s">
        <v>316</v>
      </c>
      <c r="C237" s="5"/>
      <c r="D237" s="5"/>
      <c r="E237" s="5"/>
      <c r="F237" s="5"/>
    </row>
    <row r="238" customFormat="false" ht="30" hidden="false" customHeight="true" outlineLevel="0" collapsed="false">
      <c r="A238" s="4" t="n">
        <v>7</v>
      </c>
      <c r="B238" s="5" t="s">
        <v>317</v>
      </c>
      <c r="C238" s="5"/>
      <c r="D238" s="5"/>
      <c r="E238" s="5"/>
      <c r="F238" s="5"/>
    </row>
    <row r="240" customFormat="false" ht="16.15" hidden="false" customHeight="false" outlineLevel="0" collapsed="false">
      <c r="A240" s="1" t="s">
        <v>318</v>
      </c>
    </row>
    <row r="241" customFormat="false" ht="26.85" hidden="false" customHeight="true" outlineLevel="0" collapsed="false">
      <c r="A241" s="9" t="s">
        <v>54</v>
      </c>
      <c r="B241" s="5" t="s">
        <v>319</v>
      </c>
      <c r="C241" s="5"/>
      <c r="D241" s="5"/>
      <c r="E241" s="5"/>
      <c r="F241" s="5"/>
    </row>
    <row r="242" customFormat="false" ht="15" hidden="false" customHeight="true" outlineLevel="0" collapsed="false">
      <c r="A242" s="9" t="s">
        <v>56</v>
      </c>
      <c r="B242" s="5" t="s">
        <v>57</v>
      </c>
      <c r="C242" s="5"/>
      <c r="D242" s="5"/>
      <c r="E242" s="5"/>
      <c r="F242" s="5"/>
    </row>
    <row r="243" customFormat="false" ht="15" hidden="false" customHeight="true" outlineLevel="0" collapsed="false">
      <c r="A243" s="9" t="s">
        <v>58</v>
      </c>
      <c r="B243" s="5" t="s">
        <v>113</v>
      </c>
      <c r="C243" s="5"/>
      <c r="D243" s="5"/>
      <c r="E243" s="5"/>
      <c r="F243" s="5"/>
    </row>
    <row r="244" customFormat="false" ht="15" hidden="false" customHeight="true" outlineLevel="0" collapsed="false">
      <c r="A244" s="9" t="s">
        <v>60</v>
      </c>
      <c r="B244" s="5" t="s">
        <v>320</v>
      </c>
      <c r="C244" s="5"/>
      <c r="D244" s="5"/>
      <c r="E244" s="5"/>
      <c r="F244" s="5"/>
    </row>
    <row r="245" customFormat="false" ht="15" hidden="false" customHeight="false" outlineLevel="0" collapsed="false">
      <c r="A245" s="3" t="s">
        <v>62</v>
      </c>
      <c r="B245" s="3" t="s">
        <v>63</v>
      </c>
      <c r="C245" s="3" t="s">
        <v>64</v>
      </c>
      <c r="D245" s="3" t="s">
        <v>65</v>
      </c>
      <c r="E245" s="3" t="s">
        <v>66</v>
      </c>
      <c r="F245" s="3" t="s">
        <v>67</v>
      </c>
    </row>
    <row r="246" customFormat="false" ht="26.85" hidden="false" customHeight="false" outlineLevel="0" collapsed="false">
      <c r="A246" s="5" t="s">
        <v>321</v>
      </c>
      <c r="B246" s="4" t="n">
        <v>500</v>
      </c>
      <c r="C246" s="4" t="s">
        <v>69</v>
      </c>
      <c r="D246" s="4" t="s">
        <v>322</v>
      </c>
      <c r="E246" s="4" t="s">
        <v>323</v>
      </c>
      <c r="F246" s="4" t="s">
        <v>72</v>
      </c>
    </row>
    <row r="247" customFormat="false" ht="15" hidden="false" customHeight="false" outlineLevel="0" collapsed="false">
      <c r="A247" s="5" t="s">
        <v>324</v>
      </c>
      <c r="B247" s="4" t="n">
        <v>60</v>
      </c>
      <c r="C247" s="4" t="s">
        <v>69</v>
      </c>
      <c r="D247" s="4" t="s">
        <v>211</v>
      </c>
      <c r="E247" s="4" t="s">
        <v>119</v>
      </c>
      <c r="F247" s="4" t="s">
        <v>72</v>
      </c>
    </row>
    <row r="248" customFormat="false" ht="15" hidden="false" customHeight="false" outlineLevel="0" collapsed="false">
      <c r="A248" s="5" t="s">
        <v>168</v>
      </c>
      <c r="B248" s="4" t="n">
        <v>20</v>
      </c>
      <c r="C248" s="4" t="s">
        <v>74</v>
      </c>
      <c r="D248" s="4" t="s">
        <v>169</v>
      </c>
      <c r="E248" s="4" t="s">
        <v>90</v>
      </c>
      <c r="F248" s="4" t="s">
        <v>72</v>
      </c>
    </row>
    <row r="249" customFormat="false" ht="15" hidden="false" customHeight="false" outlineLevel="0" collapsed="false">
      <c r="A249" s="5" t="s">
        <v>325</v>
      </c>
      <c r="B249" s="4" t="n">
        <v>80</v>
      </c>
      <c r="C249" s="4" t="s">
        <v>69</v>
      </c>
      <c r="D249" s="4" t="s">
        <v>326</v>
      </c>
      <c r="E249" s="4" t="s">
        <v>285</v>
      </c>
      <c r="F249" s="4" t="s">
        <v>72</v>
      </c>
    </row>
    <row r="250" customFormat="false" ht="15" hidden="false" customHeight="false" outlineLevel="0" collapsed="false">
      <c r="A250" s="5" t="s">
        <v>327</v>
      </c>
      <c r="B250" s="4" t="n">
        <v>200</v>
      </c>
      <c r="C250" s="4" t="s">
        <v>69</v>
      </c>
      <c r="D250" s="4" t="s">
        <v>328</v>
      </c>
      <c r="E250" s="4" t="s">
        <v>167</v>
      </c>
      <c r="F250" s="4" t="s">
        <v>72</v>
      </c>
    </row>
    <row r="251" customFormat="false" ht="15" hidden="false" customHeight="false" outlineLevel="0" collapsed="false">
      <c r="A251" s="5" t="s">
        <v>212</v>
      </c>
      <c r="B251" s="4" t="n">
        <v>6</v>
      </c>
      <c r="C251" s="4" t="s">
        <v>69</v>
      </c>
      <c r="D251" s="4" t="s">
        <v>213</v>
      </c>
      <c r="E251" s="4" t="s">
        <v>214</v>
      </c>
      <c r="F251" s="4" t="s">
        <v>72</v>
      </c>
    </row>
    <row r="252" customFormat="false" ht="15" hidden="false" customHeight="false" outlineLevel="0" collapsed="false">
      <c r="A252" s="5" t="s">
        <v>222</v>
      </c>
      <c r="B252" s="4" t="n">
        <v>2</v>
      </c>
      <c r="C252" s="4" t="s">
        <v>69</v>
      </c>
      <c r="D252" s="4" t="s">
        <v>96</v>
      </c>
      <c r="E252" s="4" t="s">
        <v>178</v>
      </c>
      <c r="F252" s="10" t="s">
        <v>79</v>
      </c>
    </row>
    <row r="253" customFormat="false" ht="15" hidden="false" customHeight="false" outlineLevel="0" collapsed="false">
      <c r="A253" s="5" t="s">
        <v>329</v>
      </c>
      <c r="B253" s="4" t="n">
        <v>2</v>
      </c>
      <c r="C253" s="4" t="s">
        <v>69</v>
      </c>
      <c r="D253" s="4" t="s">
        <v>330</v>
      </c>
      <c r="E253" s="4" t="s">
        <v>331</v>
      </c>
      <c r="F253" s="10" t="s">
        <v>79</v>
      </c>
    </row>
    <row r="254" customFormat="false" ht="15" hidden="false" customHeight="false" outlineLevel="0" collapsed="false">
      <c r="A254" s="5" t="s">
        <v>332</v>
      </c>
      <c r="B254" s="4" t="n">
        <v>2</v>
      </c>
      <c r="C254" s="4" t="s">
        <v>69</v>
      </c>
      <c r="D254" s="4" t="s">
        <v>330</v>
      </c>
      <c r="E254" s="4" t="s">
        <v>333</v>
      </c>
      <c r="F254" s="10" t="s">
        <v>79</v>
      </c>
    </row>
    <row r="255" customFormat="false" ht="15" hidden="false" customHeight="false" outlineLevel="0" collapsed="false">
      <c r="A255" s="5" t="s">
        <v>334</v>
      </c>
      <c r="B255" s="4" t="n">
        <v>2</v>
      </c>
      <c r="C255" s="4" t="s">
        <v>69</v>
      </c>
      <c r="D255" s="4" t="s">
        <v>330</v>
      </c>
      <c r="E255" s="4" t="s">
        <v>335</v>
      </c>
      <c r="F255" s="10" t="s">
        <v>79</v>
      </c>
    </row>
    <row r="256" customFormat="false" ht="15" hidden="false" customHeight="false" outlineLevel="0" collapsed="false">
      <c r="A256" s="5" t="s">
        <v>336</v>
      </c>
      <c r="B256" s="4" t="n">
        <v>1</v>
      </c>
      <c r="C256" s="4" t="s">
        <v>69</v>
      </c>
      <c r="D256" s="4" t="s">
        <v>96</v>
      </c>
      <c r="E256" s="4" t="s">
        <v>337</v>
      </c>
      <c r="F256" s="10" t="s">
        <v>79</v>
      </c>
    </row>
    <row r="257" customFormat="false" ht="15" hidden="false" customHeight="false" outlineLevel="0" collapsed="false">
      <c r="A257" s="5" t="s">
        <v>338</v>
      </c>
      <c r="B257" s="4" t="n">
        <v>1</v>
      </c>
      <c r="C257" s="4" t="s">
        <v>69</v>
      </c>
      <c r="D257" s="4" t="s">
        <v>339</v>
      </c>
      <c r="E257" s="4" t="s">
        <v>340</v>
      </c>
      <c r="F257" s="10" t="s">
        <v>79</v>
      </c>
    </row>
    <row r="258" customFormat="false" ht="15" hidden="false" customHeight="false" outlineLevel="0" collapsed="false">
      <c r="A258" s="5" t="s">
        <v>341</v>
      </c>
      <c r="B258" s="4" t="n">
        <v>100</v>
      </c>
      <c r="C258" s="4" t="s">
        <v>74</v>
      </c>
      <c r="D258" s="4" t="s">
        <v>342</v>
      </c>
      <c r="E258" s="4" t="s">
        <v>126</v>
      </c>
      <c r="F258" s="4" t="s">
        <v>72</v>
      </c>
    </row>
    <row r="259" customFormat="false" ht="15" hidden="false" customHeight="false" outlineLevel="0" collapsed="false">
      <c r="A259" s="5" t="s">
        <v>174</v>
      </c>
      <c r="B259" s="4" t="n">
        <v>60</v>
      </c>
      <c r="C259" s="4" t="s">
        <v>74</v>
      </c>
      <c r="D259" s="4" t="s">
        <v>343</v>
      </c>
      <c r="E259" s="4" t="s">
        <v>174</v>
      </c>
      <c r="F259" s="4" t="s">
        <v>72</v>
      </c>
    </row>
    <row r="260" customFormat="false" ht="15" hidden="false" customHeight="false" outlineLevel="0" collapsed="false">
      <c r="A260" s="5" t="s">
        <v>344</v>
      </c>
      <c r="B260" s="4" t="n">
        <v>30</v>
      </c>
      <c r="C260" s="4" t="s">
        <v>69</v>
      </c>
      <c r="D260" s="4" t="s">
        <v>345</v>
      </c>
      <c r="E260" s="4" t="s">
        <v>269</v>
      </c>
      <c r="F260" s="4" t="s">
        <v>72</v>
      </c>
    </row>
    <row r="261" customFormat="false" ht="15" hidden="false" customHeight="false" outlineLevel="0" collapsed="false">
      <c r="A261" s="5" t="s">
        <v>95</v>
      </c>
      <c r="B261" s="4" t="n">
        <v>2</v>
      </c>
      <c r="C261" s="4" t="s">
        <v>69</v>
      </c>
      <c r="D261" s="4"/>
      <c r="E261" s="4" t="s">
        <v>97</v>
      </c>
      <c r="F261" s="10" t="s">
        <v>79</v>
      </c>
    </row>
    <row r="262" customFormat="false" ht="15" hidden="false" customHeight="false" outlineLevel="0" collapsed="false">
      <c r="A262" s="5" t="s">
        <v>98</v>
      </c>
      <c r="B262" s="4" t="n">
        <v>1</v>
      </c>
      <c r="C262" s="4" t="s">
        <v>69</v>
      </c>
      <c r="D262" s="4"/>
      <c r="E262" s="4" t="s">
        <v>97</v>
      </c>
      <c r="F262" s="10" t="s">
        <v>79</v>
      </c>
    </row>
    <row r="263" customFormat="false" ht="15" hidden="false" customHeight="true" outlineLevel="0" collapsed="false">
      <c r="A263" s="3" t="s">
        <v>100</v>
      </c>
      <c r="B263" s="3" t="s">
        <v>101</v>
      </c>
      <c r="C263" s="3"/>
      <c r="D263" s="3"/>
      <c r="E263" s="3"/>
      <c r="F263" s="3"/>
    </row>
    <row r="264" customFormat="false" ht="30" hidden="false" customHeight="true" outlineLevel="0" collapsed="false">
      <c r="A264" s="4" t="n">
        <v>1</v>
      </c>
      <c r="B264" s="5" t="s">
        <v>346</v>
      </c>
      <c r="C264" s="5"/>
      <c r="D264" s="5"/>
      <c r="E264" s="5"/>
      <c r="F264" s="5"/>
    </row>
    <row r="265" customFormat="false" ht="18" hidden="false" customHeight="true" outlineLevel="0" collapsed="false">
      <c r="A265" s="4" t="n">
        <v>2</v>
      </c>
      <c r="B265" s="5" t="s">
        <v>347</v>
      </c>
      <c r="C265" s="5"/>
      <c r="D265" s="5"/>
      <c r="E265" s="5"/>
      <c r="F265" s="5"/>
    </row>
    <row r="266" customFormat="false" ht="30" hidden="false" customHeight="true" outlineLevel="0" collapsed="false">
      <c r="A266" s="4" t="n">
        <v>3</v>
      </c>
      <c r="B266" s="5" t="s">
        <v>348</v>
      </c>
      <c r="C266" s="5"/>
      <c r="D266" s="5"/>
      <c r="E266" s="5"/>
      <c r="F266" s="5"/>
    </row>
    <row r="267" customFormat="false" ht="45" hidden="false" customHeight="true" outlineLevel="0" collapsed="false">
      <c r="A267" s="4" t="n">
        <v>4</v>
      </c>
      <c r="B267" s="5" t="s">
        <v>349</v>
      </c>
      <c r="C267" s="5"/>
      <c r="D267" s="5"/>
      <c r="E267" s="5"/>
      <c r="F267" s="5"/>
    </row>
    <row r="268" customFormat="false" ht="18" hidden="false" customHeight="true" outlineLevel="0" collapsed="false">
      <c r="A268" s="4" t="n">
        <v>5</v>
      </c>
      <c r="B268" s="5" t="s">
        <v>350</v>
      </c>
      <c r="C268" s="5"/>
      <c r="D268" s="5"/>
      <c r="E268" s="5"/>
      <c r="F268" s="5"/>
    </row>
    <row r="269" customFormat="false" ht="18" hidden="false" customHeight="true" outlineLevel="0" collapsed="false">
      <c r="A269" s="4" t="n">
        <v>6</v>
      </c>
      <c r="B269" s="5" t="s">
        <v>351</v>
      </c>
      <c r="C269" s="5"/>
      <c r="D269" s="5"/>
      <c r="E269" s="5"/>
      <c r="F269" s="5"/>
    </row>
    <row r="270" customFormat="false" ht="18" hidden="false" customHeight="true" outlineLevel="0" collapsed="false">
      <c r="A270" s="4" t="n">
        <v>7</v>
      </c>
      <c r="B270" s="5" t="s">
        <v>352</v>
      </c>
      <c r="C270" s="5"/>
      <c r="D270" s="5"/>
      <c r="E270" s="5"/>
      <c r="F270" s="5"/>
    </row>
    <row r="271" customFormat="false" ht="30" hidden="false" customHeight="true" outlineLevel="0" collapsed="false">
      <c r="A271" s="4" t="n">
        <v>8</v>
      </c>
      <c r="B271" s="5" t="s">
        <v>353</v>
      </c>
      <c r="C271" s="5"/>
      <c r="D271" s="5"/>
      <c r="E271" s="5"/>
      <c r="F271" s="5"/>
    </row>
    <row r="273" customFormat="false" ht="16.15" hidden="false" customHeight="false" outlineLevel="0" collapsed="false">
      <c r="A273" s="1" t="s">
        <v>354</v>
      </c>
    </row>
    <row r="274" customFormat="false" ht="15" hidden="false" customHeight="true" outlineLevel="0" collapsed="false">
      <c r="A274" s="9" t="s">
        <v>54</v>
      </c>
      <c r="B274" s="5" t="s">
        <v>355</v>
      </c>
      <c r="C274" s="5"/>
      <c r="D274" s="5"/>
      <c r="E274" s="5"/>
      <c r="F274" s="5"/>
    </row>
    <row r="275" customFormat="false" ht="15" hidden="false" customHeight="true" outlineLevel="0" collapsed="false">
      <c r="A275" s="9" t="s">
        <v>56</v>
      </c>
      <c r="B275" s="5" t="s">
        <v>356</v>
      </c>
      <c r="C275" s="5"/>
      <c r="D275" s="5"/>
      <c r="E275" s="5"/>
      <c r="F275" s="5"/>
    </row>
    <row r="276" customFormat="false" ht="15" hidden="false" customHeight="true" outlineLevel="0" collapsed="false">
      <c r="A276" s="9" t="s">
        <v>58</v>
      </c>
      <c r="B276" s="5" t="s">
        <v>357</v>
      </c>
      <c r="C276" s="5"/>
      <c r="D276" s="5"/>
      <c r="E276" s="5"/>
      <c r="F276" s="5"/>
    </row>
    <row r="277" customFormat="false" ht="26.85" hidden="false" customHeight="true" outlineLevel="0" collapsed="false">
      <c r="A277" s="9" t="s">
        <v>60</v>
      </c>
      <c r="B277" s="5" t="s">
        <v>358</v>
      </c>
      <c r="C277" s="5"/>
      <c r="D277" s="5"/>
      <c r="E277" s="5"/>
      <c r="F277" s="5"/>
    </row>
    <row r="278" customFormat="false" ht="15" hidden="false" customHeight="false" outlineLevel="0" collapsed="false">
      <c r="A278" s="3" t="s">
        <v>62</v>
      </c>
      <c r="B278" s="3" t="s">
        <v>63</v>
      </c>
      <c r="C278" s="3" t="s">
        <v>64</v>
      </c>
      <c r="D278" s="3" t="s">
        <v>65</v>
      </c>
      <c r="E278" s="3" t="s">
        <v>66</v>
      </c>
      <c r="F278" s="3" t="s">
        <v>67</v>
      </c>
    </row>
    <row r="279" customFormat="false" ht="26.85" hidden="false" customHeight="false" outlineLevel="0" collapsed="false">
      <c r="A279" s="5" t="s">
        <v>359</v>
      </c>
      <c r="B279" s="4" t="n">
        <v>500</v>
      </c>
      <c r="C279" s="4" t="s">
        <v>69</v>
      </c>
      <c r="D279" s="4" t="s">
        <v>360</v>
      </c>
      <c r="E279" s="4" t="s">
        <v>323</v>
      </c>
      <c r="F279" s="4" t="s">
        <v>72</v>
      </c>
    </row>
    <row r="280" customFormat="false" ht="15" hidden="false" customHeight="false" outlineLevel="0" collapsed="false">
      <c r="A280" s="5" t="s">
        <v>361</v>
      </c>
      <c r="B280" s="4" t="n">
        <v>120</v>
      </c>
      <c r="C280" s="4" t="s">
        <v>69</v>
      </c>
      <c r="D280" s="4" t="s">
        <v>362</v>
      </c>
      <c r="E280" s="4" t="s">
        <v>361</v>
      </c>
      <c r="F280" s="4" t="s">
        <v>72</v>
      </c>
    </row>
    <row r="281" customFormat="false" ht="15" hidden="false" customHeight="false" outlineLevel="0" collapsed="false">
      <c r="A281" s="5" t="s">
        <v>363</v>
      </c>
      <c r="B281" s="4" t="n">
        <v>160</v>
      </c>
      <c r="C281" s="4" t="s">
        <v>74</v>
      </c>
      <c r="D281" s="4" t="s">
        <v>364</v>
      </c>
      <c r="E281" s="4" t="s">
        <v>167</v>
      </c>
      <c r="F281" s="4" t="s">
        <v>72</v>
      </c>
    </row>
    <row r="282" customFormat="false" ht="15" hidden="false" customHeight="false" outlineLevel="0" collapsed="false">
      <c r="A282" s="5" t="s">
        <v>365</v>
      </c>
      <c r="B282" s="4" t="n">
        <v>80</v>
      </c>
      <c r="C282" s="4" t="s">
        <v>69</v>
      </c>
      <c r="D282" s="4" t="s">
        <v>245</v>
      </c>
      <c r="E282" s="4" t="s">
        <v>124</v>
      </c>
      <c r="F282" s="4" t="s">
        <v>72</v>
      </c>
    </row>
    <row r="283" customFormat="false" ht="15" hidden="false" customHeight="false" outlineLevel="0" collapsed="false">
      <c r="A283" s="5" t="s">
        <v>366</v>
      </c>
      <c r="B283" s="4" t="n">
        <v>4</v>
      </c>
      <c r="C283" s="4" t="s">
        <v>69</v>
      </c>
      <c r="D283" s="4" t="s">
        <v>367</v>
      </c>
      <c r="E283" s="4" t="s">
        <v>335</v>
      </c>
      <c r="F283" s="4" t="s">
        <v>72</v>
      </c>
    </row>
    <row r="284" customFormat="false" ht="15" hidden="false" customHeight="false" outlineLevel="0" collapsed="false">
      <c r="A284" s="5" t="s">
        <v>174</v>
      </c>
      <c r="B284" s="4" t="n">
        <v>60</v>
      </c>
      <c r="C284" s="4" t="s">
        <v>74</v>
      </c>
      <c r="D284" s="4" t="s">
        <v>123</v>
      </c>
      <c r="E284" s="4" t="s">
        <v>174</v>
      </c>
      <c r="F284" s="4" t="s">
        <v>72</v>
      </c>
    </row>
    <row r="285" customFormat="false" ht="15" hidden="false" customHeight="false" outlineLevel="0" collapsed="false">
      <c r="A285" s="5" t="s">
        <v>168</v>
      </c>
      <c r="B285" s="4" t="n">
        <v>16</v>
      </c>
      <c r="C285" s="4" t="s">
        <v>74</v>
      </c>
      <c r="D285" s="4" t="s">
        <v>249</v>
      </c>
      <c r="E285" s="4" t="s">
        <v>90</v>
      </c>
      <c r="F285" s="10" t="s">
        <v>79</v>
      </c>
    </row>
    <row r="286" customFormat="false" ht="15" hidden="false" customHeight="false" outlineLevel="0" collapsed="false">
      <c r="A286" s="5" t="s">
        <v>95</v>
      </c>
      <c r="B286" s="4" t="n">
        <v>1</v>
      </c>
      <c r="C286" s="4" t="s">
        <v>69</v>
      </c>
      <c r="D286" s="4"/>
      <c r="E286" s="4" t="s">
        <v>97</v>
      </c>
      <c r="F286" s="10" t="s">
        <v>79</v>
      </c>
    </row>
    <row r="287" customFormat="false" ht="15" hidden="false" customHeight="false" outlineLevel="0" collapsed="false">
      <c r="A287" s="5" t="s">
        <v>98</v>
      </c>
      <c r="B287" s="4" t="n">
        <v>1</v>
      </c>
      <c r="C287" s="4" t="s">
        <v>69</v>
      </c>
      <c r="D287" s="4"/>
      <c r="E287" s="4" t="s">
        <v>97</v>
      </c>
      <c r="F287" s="10" t="s">
        <v>79</v>
      </c>
    </row>
    <row r="288" customFormat="false" ht="15" hidden="false" customHeight="true" outlineLevel="0" collapsed="false">
      <c r="A288" s="3" t="s">
        <v>100</v>
      </c>
      <c r="B288" s="3" t="s">
        <v>101</v>
      </c>
      <c r="C288" s="3"/>
      <c r="D288" s="3"/>
      <c r="E288" s="3"/>
      <c r="F288" s="3"/>
    </row>
    <row r="289" customFormat="false" ht="30" hidden="false" customHeight="true" outlineLevel="0" collapsed="false">
      <c r="A289" s="4" t="n">
        <v>1</v>
      </c>
      <c r="B289" s="5" t="s">
        <v>368</v>
      </c>
      <c r="C289" s="5"/>
      <c r="D289" s="5"/>
      <c r="E289" s="5"/>
      <c r="F289" s="5"/>
    </row>
    <row r="290" customFormat="false" ht="45" hidden="false" customHeight="true" outlineLevel="0" collapsed="false">
      <c r="A290" s="4" t="n">
        <v>2</v>
      </c>
      <c r="B290" s="5" t="s">
        <v>369</v>
      </c>
      <c r="C290" s="5"/>
      <c r="D290" s="5"/>
      <c r="E290" s="5"/>
      <c r="F290" s="5"/>
    </row>
    <row r="291" customFormat="false" ht="30" hidden="false" customHeight="true" outlineLevel="0" collapsed="false">
      <c r="A291" s="4" t="n">
        <v>3</v>
      </c>
      <c r="B291" s="5" t="s">
        <v>370</v>
      </c>
      <c r="C291" s="5"/>
      <c r="D291" s="5"/>
      <c r="E291" s="5"/>
      <c r="F291" s="5"/>
    </row>
    <row r="292" customFormat="false" ht="30" hidden="false" customHeight="true" outlineLevel="0" collapsed="false">
      <c r="A292" s="4" t="n">
        <v>4</v>
      </c>
      <c r="B292" s="5" t="s">
        <v>371</v>
      </c>
      <c r="C292" s="5"/>
      <c r="D292" s="5"/>
      <c r="E292" s="5"/>
      <c r="F292" s="5"/>
    </row>
    <row r="293" customFormat="false" ht="30" hidden="false" customHeight="true" outlineLevel="0" collapsed="false">
      <c r="A293" s="4" t="n">
        <v>5</v>
      </c>
      <c r="B293" s="5" t="s">
        <v>372</v>
      </c>
      <c r="C293" s="5"/>
      <c r="D293" s="5"/>
      <c r="E293" s="5"/>
      <c r="F293" s="5"/>
    </row>
    <row r="295" customFormat="false" ht="16.15" hidden="false" customHeight="false" outlineLevel="0" collapsed="false">
      <c r="A295" s="1" t="s">
        <v>373</v>
      </c>
    </row>
    <row r="296" customFormat="false" ht="15" hidden="false" customHeight="true" outlineLevel="0" collapsed="false">
      <c r="A296" s="9" t="s">
        <v>54</v>
      </c>
      <c r="B296" s="5" t="s">
        <v>374</v>
      </c>
      <c r="C296" s="5"/>
      <c r="D296" s="5"/>
      <c r="E296" s="5"/>
      <c r="F296" s="5"/>
    </row>
    <row r="297" customFormat="false" ht="15" hidden="false" customHeight="true" outlineLevel="0" collapsed="false">
      <c r="A297" s="9" t="s">
        <v>56</v>
      </c>
      <c r="B297" s="5" t="s">
        <v>375</v>
      </c>
      <c r="C297" s="5"/>
      <c r="D297" s="5"/>
      <c r="E297" s="5"/>
      <c r="F297" s="5"/>
    </row>
    <row r="298" customFormat="false" ht="15" hidden="false" customHeight="true" outlineLevel="0" collapsed="false">
      <c r="A298" s="9" t="s">
        <v>58</v>
      </c>
      <c r="B298" s="5" t="s">
        <v>376</v>
      </c>
      <c r="C298" s="5"/>
      <c r="D298" s="5"/>
      <c r="E298" s="5"/>
      <c r="F298" s="5"/>
    </row>
    <row r="299" customFormat="false" ht="15" hidden="false" customHeight="true" outlineLevel="0" collapsed="false">
      <c r="A299" s="9" t="s">
        <v>60</v>
      </c>
      <c r="B299" s="5" t="s">
        <v>377</v>
      </c>
      <c r="C299" s="5"/>
      <c r="D299" s="5"/>
      <c r="E299" s="5"/>
      <c r="F299" s="5"/>
    </row>
    <row r="300" customFormat="false" ht="15" hidden="false" customHeight="false" outlineLevel="0" collapsed="false">
      <c r="A300" s="3" t="s">
        <v>62</v>
      </c>
      <c r="B300" s="3" t="s">
        <v>63</v>
      </c>
      <c r="C300" s="3" t="s">
        <v>64</v>
      </c>
      <c r="D300" s="3" t="s">
        <v>65</v>
      </c>
      <c r="E300" s="3" t="s">
        <v>66</v>
      </c>
      <c r="F300" s="3" t="s">
        <v>67</v>
      </c>
    </row>
    <row r="301" customFormat="false" ht="15" hidden="false" customHeight="false" outlineLevel="0" collapsed="false">
      <c r="A301" s="5" t="s">
        <v>378</v>
      </c>
      <c r="B301" s="4" t="n">
        <v>400</v>
      </c>
      <c r="C301" s="4" t="s">
        <v>69</v>
      </c>
      <c r="D301" s="4" t="s">
        <v>379</v>
      </c>
      <c r="E301" s="4" t="s">
        <v>380</v>
      </c>
      <c r="F301" s="4" t="s">
        <v>72</v>
      </c>
    </row>
    <row r="302" customFormat="false" ht="26.85" hidden="false" customHeight="false" outlineLevel="0" collapsed="false">
      <c r="A302" s="5" t="s">
        <v>381</v>
      </c>
      <c r="B302" s="4" t="n">
        <v>150</v>
      </c>
      <c r="C302" s="4" t="s">
        <v>69</v>
      </c>
      <c r="D302" s="4" t="s">
        <v>382</v>
      </c>
      <c r="E302" s="4" t="s">
        <v>217</v>
      </c>
      <c r="F302" s="4" t="s">
        <v>72</v>
      </c>
    </row>
    <row r="303" customFormat="false" ht="15" hidden="false" customHeight="false" outlineLevel="0" collapsed="false">
      <c r="A303" s="5" t="s">
        <v>383</v>
      </c>
      <c r="B303" s="4" t="n">
        <v>60</v>
      </c>
      <c r="C303" s="4" t="s">
        <v>69</v>
      </c>
      <c r="D303" s="4" t="s">
        <v>211</v>
      </c>
      <c r="E303" s="4" t="s">
        <v>119</v>
      </c>
      <c r="F303" s="4" t="s">
        <v>72</v>
      </c>
    </row>
    <row r="304" customFormat="false" ht="15" hidden="false" customHeight="false" outlineLevel="0" collapsed="false">
      <c r="A304" s="5" t="s">
        <v>212</v>
      </c>
      <c r="B304" s="4" t="n">
        <v>6</v>
      </c>
      <c r="C304" s="4" t="s">
        <v>69</v>
      </c>
      <c r="D304" s="4" t="s">
        <v>384</v>
      </c>
      <c r="E304" s="4" t="s">
        <v>214</v>
      </c>
      <c r="F304" s="4" t="s">
        <v>72</v>
      </c>
    </row>
    <row r="305" customFormat="false" ht="15" hidden="false" customHeight="false" outlineLevel="0" collapsed="false">
      <c r="A305" s="5" t="s">
        <v>143</v>
      </c>
      <c r="B305" s="4" t="n">
        <v>120</v>
      </c>
      <c r="C305" s="4" t="s">
        <v>69</v>
      </c>
      <c r="D305" s="4" t="s">
        <v>144</v>
      </c>
      <c r="E305" s="4" t="s">
        <v>145</v>
      </c>
      <c r="F305" s="4" t="s">
        <v>72</v>
      </c>
    </row>
    <row r="306" customFormat="false" ht="15" hidden="false" customHeight="false" outlineLevel="0" collapsed="false">
      <c r="A306" s="5" t="s">
        <v>308</v>
      </c>
      <c r="B306" s="4" t="n">
        <v>10</v>
      </c>
      <c r="C306" s="4" t="s">
        <v>69</v>
      </c>
      <c r="D306" s="4" t="s">
        <v>385</v>
      </c>
      <c r="E306" s="4" t="s">
        <v>308</v>
      </c>
      <c r="F306" s="4" t="s">
        <v>72</v>
      </c>
    </row>
    <row r="307" customFormat="false" ht="15" hidden="false" customHeight="false" outlineLevel="0" collapsed="false">
      <c r="A307" s="5" t="s">
        <v>168</v>
      </c>
      <c r="B307" s="4" t="n">
        <v>10</v>
      </c>
      <c r="C307" s="4" t="s">
        <v>74</v>
      </c>
      <c r="D307" s="4" t="s">
        <v>81</v>
      </c>
      <c r="E307" s="4" t="s">
        <v>90</v>
      </c>
      <c r="F307" s="4" t="s">
        <v>72</v>
      </c>
    </row>
    <row r="308" customFormat="false" ht="15" hidden="false" customHeight="false" outlineLevel="0" collapsed="false">
      <c r="A308" s="5" t="s">
        <v>267</v>
      </c>
      <c r="B308" s="4" t="n">
        <v>30</v>
      </c>
      <c r="C308" s="4" t="s">
        <v>69</v>
      </c>
      <c r="D308" s="4" t="s">
        <v>345</v>
      </c>
      <c r="E308" s="4" t="s">
        <v>269</v>
      </c>
      <c r="F308" s="4" t="s">
        <v>72</v>
      </c>
    </row>
    <row r="309" customFormat="false" ht="15" hidden="false" customHeight="false" outlineLevel="0" collapsed="false">
      <c r="A309" s="5" t="s">
        <v>304</v>
      </c>
      <c r="B309" s="4" t="n">
        <v>6</v>
      </c>
      <c r="C309" s="4" t="s">
        <v>69</v>
      </c>
      <c r="D309" s="4" t="s">
        <v>386</v>
      </c>
      <c r="E309" s="4" t="s">
        <v>304</v>
      </c>
      <c r="F309" s="4" t="s">
        <v>72</v>
      </c>
    </row>
    <row r="310" customFormat="false" ht="15" hidden="false" customHeight="false" outlineLevel="0" collapsed="false">
      <c r="A310" s="5" t="s">
        <v>387</v>
      </c>
      <c r="B310" s="4" t="n">
        <v>4</v>
      </c>
      <c r="C310" s="4" t="s">
        <v>69</v>
      </c>
      <c r="D310" s="4" t="s">
        <v>251</v>
      </c>
      <c r="E310" s="4" t="s">
        <v>87</v>
      </c>
      <c r="F310" s="10" t="s">
        <v>79</v>
      </c>
    </row>
    <row r="311" customFormat="false" ht="15" hidden="false" customHeight="false" outlineLevel="0" collapsed="false">
      <c r="A311" s="5" t="s">
        <v>95</v>
      </c>
      <c r="B311" s="4" t="n">
        <v>2</v>
      </c>
      <c r="C311" s="4" t="s">
        <v>69</v>
      </c>
      <c r="D311" s="4"/>
      <c r="E311" s="4" t="s">
        <v>97</v>
      </c>
      <c r="F311" s="10" t="s">
        <v>79</v>
      </c>
    </row>
    <row r="312" customFormat="false" ht="15" hidden="false" customHeight="false" outlineLevel="0" collapsed="false">
      <c r="A312" s="5" t="s">
        <v>98</v>
      </c>
      <c r="B312" s="4" t="n">
        <v>1</v>
      </c>
      <c r="C312" s="4" t="s">
        <v>69</v>
      </c>
      <c r="D312" s="4"/>
      <c r="E312" s="4" t="s">
        <v>97</v>
      </c>
      <c r="F312" s="10" t="s">
        <v>79</v>
      </c>
    </row>
    <row r="313" customFormat="false" ht="15" hidden="false" customHeight="true" outlineLevel="0" collapsed="false">
      <c r="A313" s="3" t="s">
        <v>100</v>
      </c>
      <c r="B313" s="3" t="s">
        <v>101</v>
      </c>
      <c r="C313" s="3"/>
      <c r="D313" s="3"/>
      <c r="E313" s="3"/>
      <c r="F313" s="3"/>
    </row>
    <row r="314" customFormat="false" ht="30" hidden="false" customHeight="true" outlineLevel="0" collapsed="false">
      <c r="A314" s="4" t="n">
        <v>1</v>
      </c>
      <c r="B314" s="5" t="s">
        <v>388</v>
      </c>
      <c r="C314" s="5"/>
      <c r="D314" s="5"/>
      <c r="E314" s="5"/>
      <c r="F314" s="5"/>
    </row>
    <row r="315" customFormat="false" ht="30" hidden="false" customHeight="true" outlineLevel="0" collapsed="false">
      <c r="A315" s="4" t="n">
        <v>2</v>
      </c>
      <c r="B315" s="5" t="s">
        <v>389</v>
      </c>
      <c r="C315" s="5"/>
      <c r="D315" s="5"/>
      <c r="E315" s="5"/>
      <c r="F315" s="5"/>
    </row>
    <row r="316" customFormat="false" ht="30" hidden="false" customHeight="true" outlineLevel="0" collapsed="false">
      <c r="A316" s="4" t="n">
        <v>3</v>
      </c>
      <c r="B316" s="5" t="s">
        <v>390</v>
      </c>
      <c r="C316" s="5"/>
      <c r="D316" s="5"/>
      <c r="E316" s="5"/>
      <c r="F316" s="5"/>
    </row>
    <row r="317" customFormat="false" ht="18" hidden="false" customHeight="true" outlineLevel="0" collapsed="false">
      <c r="A317" s="4" t="n">
        <v>4</v>
      </c>
      <c r="B317" s="5" t="s">
        <v>391</v>
      </c>
      <c r="C317" s="5"/>
      <c r="D317" s="5"/>
      <c r="E317" s="5"/>
      <c r="F317" s="5"/>
    </row>
    <row r="318" customFormat="false" ht="30" hidden="false" customHeight="true" outlineLevel="0" collapsed="false">
      <c r="A318" s="4" t="n">
        <v>5</v>
      </c>
      <c r="B318" s="5" t="s">
        <v>392</v>
      </c>
      <c r="C318" s="5"/>
      <c r="D318" s="5"/>
      <c r="E318" s="5"/>
      <c r="F318" s="5"/>
    </row>
    <row r="319" customFormat="false" ht="30" hidden="false" customHeight="true" outlineLevel="0" collapsed="false">
      <c r="A319" s="4" t="n">
        <v>6</v>
      </c>
      <c r="B319" s="5" t="s">
        <v>393</v>
      </c>
      <c r="C319" s="5"/>
      <c r="D319" s="5"/>
      <c r="E319" s="5"/>
      <c r="F319" s="5"/>
    </row>
    <row r="320" customFormat="false" ht="30" hidden="false" customHeight="true" outlineLevel="0" collapsed="false">
      <c r="A320" s="4" t="n">
        <v>7</v>
      </c>
      <c r="B320" s="5" t="s">
        <v>394</v>
      </c>
      <c r="C320" s="5"/>
      <c r="D320" s="5"/>
      <c r="E320" s="5"/>
      <c r="F320" s="5"/>
    </row>
    <row r="321" customFormat="false" ht="18" hidden="false" customHeight="true" outlineLevel="0" collapsed="false">
      <c r="A321" s="4" t="n">
        <v>8</v>
      </c>
      <c r="B321" s="5" t="s">
        <v>395</v>
      </c>
      <c r="C321" s="5"/>
      <c r="D321" s="5"/>
      <c r="E321" s="5"/>
      <c r="F321" s="5"/>
    </row>
    <row r="323" customFormat="false" ht="16.15" hidden="false" customHeight="false" outlineLevel="0" collapsed="false">
      <c r="A323" s="1" t="s">
        <v>396</v>
      </c>
    </row>
    <row r="324" customFormat="false" ht="26.85" hidden="false" customHeight="true" outlineLevel="0" collapsed="false">
      <c r="A324" s="9" t="s">
        <v>54</v>
      </c>
      <c r="B324" s="5" t="s">
        <v>397</v>
      </c>
      <c r="C324" s="5"/>
      <c r="D324" s="5"/>
      <c r="E324" s="5"/>
      <c r="F324" s="5"/>
    </row>
    <row r="325" customFormat="false" ht="15" hidden="false" customHeight="true" outlineLevel="0" collapsed="false">
      <c r="A325" s="9" t="s">
        <v>56</v>
      </c>
      <c r="B325" s="5" t="s">
        <v>398</v>
      </c>
      <c r="C325" s="5"/>
      <c r="D325" s="5"/>
      <c r="E325" s="5"/>
      <c r="F325" s="5"/>
    </row>
    <row r="326" customFormat="false" ht="15" hidden="false" customHeight="true" outlineLevel="0" collapsed="false">
      <c r="A326" s="9" t="s">
        <v>58</v>
      </c>
      <c r="B326" s="5" t="s">
        <v>399</v>
      </c>
      <c r="C326" s="5"/>
      <c r="D326" s="5"/>
      <c r="E326" s="5"/>
      <c r="F326" s="5"/>
    </row>
    <row r="327" customFormat="false" ht="15" hidden="false" customHeight="true" outlineLevel="0" collapsed="false">
      <c r="A327" s="9" t="s">
        <v>60</v>
      </c>
      <c r="B327" s="5" t="s">
        <v>61</v>
      </c>
      <c r="C327" s="5"/>
      <c r="D327" s="5"/>
      <c r="E327" s="5"/>
      <c r="F327" s="5"/>
    </row>
    <row r="328" customFormat="false" ht="15" hidden="false" customHeight="false" outlineLevel="0" collapsed="false">
      <c r="A328" s="3" t="s">
        <v>62</v>
      </c>
      <c r="B328" s="3" t="s">
        <v>63</v>
      </c>
      <c r="C328" s="3" t="s">
        <v>64</v>
      </c>
      <c r="D328" s="3" t="s">
        <v>65</v>
      </c>
      <c r="E328" s="3" t="s">
        <v>66</v>
      </c>
      <c r="F328" s="3" t="s">
        <v>67</v>
      </c>
    </row>
    <row r="329" customFormat="false" ht="15" hidden="false" customHeight="false" outlineLevel="0" collapsed="false">
      <c r="A329" s="5" t="s">
        <v>400</v>
      </c>
      <c r="B329" s="4" t="n">
        <v>220</v>
      </c>
      <c r="C329" s="4" t="s">
        <v>69</v>
      </c>
      <c r="D329" s="4" t="s">
        <v>401</v>
      </c>
      <c r="E329" s="4" t="s">
        <v>402</v>
      </c>
      <c r="F329" s="4" t="s">
        <v>72</v>
      </c>
    </row>
    <row r="330" customFormat="false" ht="15" hidden="false" customHeight="false" outlineLevel="0" collapsed="false">
      <c r="A330" s="5" t="s">
        <v>120</v>
      </c>
      <c r="B330" s="4" t="n">
        <v>150</v>
      </c>
      <c r="C330" s="4" t="s">
        <v>69</v>
      </c>
      <c r="D330" s="4" t="s">
        <v>403</v>
      </c>
      <c r="E330" s="4" t="s">
        <v>120</v>
      </c>
      <c r="F330" s="4" t="s">
        <v>72</v>
      </c>
    </row>
    <row r="331" customFormat="false" ht="15" hidden="false" customHeight="false" outlineLevel="0" collapsed="false">
      <c r="A331" s="5" t="s">
        <v>404</v>
      </c>
      <c r="B331" s="4" t="n">
        <v>250</v>
      </c>
      <c r="C331" s="4" t="s">
        <v>69</v>
      </c>
      <c r="D331" s="4" t="s">
        <v>405</v>
      </c>
      <c r="E331" s="4" t="s">
        <v>217</v>
      </c>
      <c r="F331" s="4" t="s">
        <v>72</v>
      </c>
    </row>
    <row r="332" customFormat="false" ht="15" hidden="false" customHeight="false" outlineLevel="0" collapsed="false">
      <c r="A332" s="5" t="s">
        <v>117</v>
      </c>
      <c r="B332" s="4" t="n">
        <v>100</v>
      </c>
      <c r="C332" s="4" t="s">
        <v>69</v>
      </c>
      <c r="D332" s="4" t="s">
        <v>197</v>
      </c>
      <c r="E332" s="4" t="s">
        <v>119</v>
      </c>
      <c r="F332" s="4" t="s">
        <v>72</v>
      </c>
    </row>
    <row r="333" customFormat="false" ht="15" hidden="false" customHeight="false" outlineLevel="0" collapsed="false">
      <c r="A333" s="5" t="s">
        <v>125</v>
      </c>
      <c r="B333" s="4" t="n">
        <v>160</v>
      </c>
      <c r="C333" s="4" t="s">
        <v>74</v>
      </c>
      <c r="D333" s="4" t="s">
        <v>406</v>
      </c>
      <c r="E333" s="4" t="s">
        <v>126</v>
      </c>
      <c r="F333" s="4" t="s">
        <v>72</v>
      </c>
    </row>
    <row r="334" customFormat="false" ht="15" hidden="false" customHeight="false" outlineLevel="0" collapsed="false">
      <c r="A334" s="5" t="s">
        <v>287</v>
      </c>
      <c r="B334" s="4" t="n">
        <v>10</v>
      </c>
      <c r="C334" s="4" t="s">
        <v>69</v>
      </c>
      <c r="D334" s="4" t="s">
        <v>407</v>
      </c>
      <c r="E334" s="4" t="s">
        <v>221</v>
      </c>
      <c r="F334" s="4" t="s">
        <v>72</v>
      </c>
    </row>
    <row r="335" customFormat="false" ht="15" hidden="false" customHeight="false" outlineLevel="0" collapsed="false">
      <c r="A335" s="5" t="s">
        <v>174</v>
      </c>
      <c r="B335" s="4" t="n">
        <v>750</v>
      </c>
      <c r="C335" s="4" t="s">
        <v>74</v>
      </c>
      <c r="D335" s="4" t="s">
        <v>408</v>
      </c>
      <c r="E335" s="4" t="s">
        <v>174</v>
      </c>
      <c r="F335" s="4" t="s">
        <v>72</v>
      </c>
    </row>
    <row r="336" customFormat="false" ht="15" hidden="false" customHeight="false" outlineLevel="0" collapsed="false">
      <c r="A336" s="5" t="s">
        <v>168</v>
      </c>
      <c r="B336" s="4" t="n">
        <v>20</v>
      </c>
      <c r="C336" s="4" t="s">
        <v>74</v>
      </c>
      <c r="D336" s="4" t="s">
        <v>169</v>
      </c>
      <c r="E336" s="4" t="s">
        <v>90</v>
      </c>
      <c r="F336" s="4" t="s">
        <v>72</v>
      </c>
    </row>
    <row r="337" customFormat="false" ht="15" hidden="false" customHeight="false" outlineLevel="0" collapsed="false">
      <c r="A337" s="5" t="s">
        <v>409</v>
      </c>
      <c r="B337" s="4" t="n">
        <v>30</v>
      </c>
      <c r="C337" s="4" t="s">
        <v>69</v>
      </c>
      <c r="D337" s="4" t="s">
        <v>345</v>
      </c>
      <c r="E337" s="4" t="s">
        <v>269</v>
      </c>
      <c r="F337" s="4" t="s">
        <v>72</v>
      </c>
    </row>
    <row r="338" customFormat="false" ht="15" hidden="false" customHeight="false" outlineLevel="0" collapsed="false">
      <c r="A338" s="5" t="s">
        <v>98</v>
      </c>
      <c r="B338" s="4" t="n">
        <v>1</v>
      </c>
      <c r="C338" s="4" t="s">
        <v>69</v>
      </c>
      <c r="D338" s="4"/>
      <c r="E338" s="4" t="s">
        <v>97</v>
      </c>
      <c r="F338" s="10" t="s">
        <v>79</v>
      </c>
    </row>
    <row r="339" customFormat="false" ht="15" hidden="false" customHeight="false" outlineLevel="0" collapsed="false">
      <c r="A339" s="5" t="s">
        <v>95</v>
      </c>
      <c r="B339" s="4" t="n">
        <v>0</v>
      </c>
      <c r="C339" s="4" t="s">
        <v>69</v>
      </c>
      <c r="D339" s="4" t="s">
        <v>410</v>
      </c>
      <c r="E339" s="4" t="s">
        <v>97</v>
      </c>
      <c r="F339" s="10" t="s">
        <v>79</v>
      </c>
    </row>
    <row r="340" customFormat="false" ht="15" hidden="false" customHeight="true" outlineLevel="0" collapsed="false">
      <c r="A340" s="3" t="s">
        <v>100</v>
      </c>
      <c r="B340" s="3" t="s">
        <v>101</v>
      </c>
      <c r="C340" s="3"/>
      <c r="D340" s="3"/>
      <c r="E340" s="3"/>
      <c r="F340" s="3"/>
    </row>
    <row r="341" customFormat="false" ht="18" hidden="false" customHeight="true" outlineLevel="0" collapsed="false">
      <c r="A341" s="4" t="n">
        <v>1</v>
      </c>
      <c r="B341" s="5" t="s">
        <v>411</v>
      </c>
      <c r="C341" s="5"/>
      <c r="D341" s="5"/>
      <c r="E341" s="5"/>
      <c r="F341" s="5"/>
    </row>
    <row r="342" customFormat="false" ht="18" hidden="false" customHeight="true" outlineLevel="0" collapsed="false">
      <c r="A342" s="4" t="n">
        <v>2</v>
      </c>
      <c r="B342" s="5" t="s">
        <v>412</v>
      </c>
      <c r="C342" s="5"/>
      <c r="D342" s="5"/>
      <c r="E342" s="5"/>
      <c r="F342" s="5"/>
    </row>
    <row r="343" customFormat="false" ht="30" hidden="false" customHeight="true" outlineLevel="0" collapsed="false">
      <c r="A343" s="4" t="n">
        <v>3</v>
      </c>
      <c r="B343" s="5" t="s">
        <v>413</v>
      </c>
      <c r="C343" s="5"/>
      <c r="D343" s="5"/>
      <c r="E343" s="5"/>
      <c r="F343" s="5"/>
    </row>
    <row r="344" customFormat="false" ht="30" hidden="false" customHeight="true" outlineLevel="0" collapsed="false">
      <c r="A344" s="4" t="n">
        <v>4</v>
      </c>
      <c r="B344" s="5" t="s">
        <v>414</v>
      </c>
      <c r="C344" s="5"/>
      <c r="D344" s="5"/>
      <c r="E344" s="5"/>
      <c r="F344" s="5"/>
    </row>
    <row r="345" customFormat="false" ht="30" hidden="false" customHeight="true" outlineLevel="0" collapsed="false">
      <c r="A345" s="4" t="n">
        <v>5</v>
      </c>
      <c r="B345" s="5" t="s">
        <v>415</v>
      </c>
      <c r="C345" s="5"/>
      <c r="D345" s="5"/>
      <c r="E345" s="5"/>
      <c r="F345" s="5"/>
    </row>
    <row r="346" customFormat="false" ht="18" hidden="false" customHeight="true" outlineLevel="0" collapsed="false">
      <c r="A346" s="4" t="n">
        <v>6</v>
      </c>
      <c r="B346" s="5" t="s">
        <v>416</v>
      </c>
      <c r="C346" s="5"/>
      <c r="D346" s="5"/>
      <c r="E346" s="5"/>
      <c r="F346" s="5"/>
    </row>
    <row r="347" customFormat="false" ht="30" hidden="false" customHeight="true" outlineLevel="0" collapsed="false">
      <c r="A347" s="4" t="n">
        <v>7</v>
      </c>
      <c r="B347" s="5" t="s">
        <v>417</v>
      </c>
      <c r="C347" s="5"/>
      <c r="D347" s="5"/>
      <c r="E347" s="5"/>
      <c r="F347" s="5"/>
    </row>
    <row r="348" customFormat="false" ht="30" hidden="false" customHeight="true" outlineLevel="0" collapsed="false">
      <c r="A348" s="4" t="n">
        <v>8</v>
      </c>
      <c r="B348" s="5" t="s">
        <v>418</v>
      </c>
      <c r="C348" s="5"/>
      <c r="D348" s="5"/>
      <c r="E348" s="5"/>
      <c r="F348" s="5"/>
    </row>
    <row r="350" customFormat="false" ht="16.15" hidden="false" customHeight="false" outlineLevel="0" collapsed="false">
      <c r="A350" s="1" t="s">
        <v>419</v>
      </c>
    </row>
    <row r="351" customFormat="false" ht="15" hidden="false" customHeight="true" outlineLevel="0" collapsed="false">
      <c r="A351" s="9" t="s">
        <v>54</v>
      </c>
      <c r="B351" s="5" t="s">
        <v>420</v>
      </c>
      <c r="C351" s="5"/>
      <c r="D351" s="5"/>
      <c r="E351" s="5"/>
      <c r="F351" s="5"/>
    </row>
    <row r="352" customFormat="false" ht="15" hidden="false" customHeight="true" outlineLevel="0" collapsed="false">
      <c r="A352" s="9" t="s">
        <v>56</v>
      </c>
      <c r="B352" s="5" t="s">
        <v>356</v>
      </c>
      <c r="C352" s="5"/>
      <c r="D352" s="5"/>
      <c r="E352" s="5"/>
      <c r="F352" s="5"/>
    </row>
    <row r="353" customFormat="false" ht="15" hidden="false" customHeight="true" outlineLevel="0" collapsed="false">
      <c r="A353" s="9" t="s">
        <v>58</v>
      </c>
      <c r="B353" s="5" t="s">
        <v>421</v>
      </c>
      <c r="C353" s="5"/>
      <c r="D353" s="5"/>
      <c r="E353" s="5"/>
      <c r="F353" s="5"/>
    </row>
    <row r="354" customFormat="false" ht="15" hidden="false" customHeight="true" outlineLevel="0" collapsed="false">
      <c r="A354" s="9" t="s">
        <v>60</v>
      </c>
      <c r="B354" s="5" t="s">
        <v>61</v>
      </c>
      <c r="C354" s="5"/>
      <c r="D354" s="5"/>
      <c r="E354" s="5"/>
      <c r="F354" s="5"/>
    </row>
    <row r="355" customFormat="false" ht="15" hidden="false" customHeight="false" outlineLevel="0" collapsed="false">
      <c r="A355" s="3" t="s">
        <v>62</v>
      </c>
      <c r="B355" s="3" t="s">
        <v>63</v>
      </c>
      <c r="C355" s="3" t="s">
        <v>64</v>
      </c>
      <c r="D355" s="3" t="s">
        <v>65</v>
      </c>
      <c r="E355" s="3" t="s">
        <v>66</v>
      </c>
      <c r="F355" s="3" t="s">
        <v>67</v>
      </c>
    </row>
    <row r="356" customFormat="false" ht="15" hidden="false" customHeight="false" outlineLevel="0" collapsed="false">
      <c r="A356" s="5" t="s">
        <v>422</v>
      </c>
      <c r="B356" s="4" t="n">
        <v>280</v>
      </c>
      <c r="C356" s="4" t="s">
        <v>69</v>
      </c>
      <c r="D356" s="4" t="s">
        <v>423</v>
      </c>
      <c r="E356" s="4" t="s">
        <v>424</v>
      </c>
      <c r="F356" s="4" t="s">
        <v>72</v>
      </c>
    </row>
    <row r="357" customFormat="false" ht="15" hidden="false" customHeight="false" outlineLevel="0" collapsed="false">
      <c r="A357" s="5" t="s">
        <v>425</v>
      </c>
      <c r="B357" s="4" t="n">
        <v>400</v>
      </c>
      <c r="C357" s="4" t="s">
        <v>69</v>
      </c>
      <c r="D357" s="4" t="s">
        <v>426</v>
      </c>
      <c r="E357" s="4" t="s">
        <v>427</v>
      </c>
      <c r="F357" s="4" t="s">
        <v>72</v>
      </c>
    </row>
    <row r="358" customFormat="false" ht="15" hidden="false" customHeight="false" outlineLevel="0" collapsed="false">
      <c r="A358" s="5" t="s">
        <v>117</v>
      </c>
      <c r="B358" s="4" t="n">
        <v>80</v>
      </c>
      <c r="C358" s="4" t="s">
        <v>69</v>
      </c>
      <c r="D358" s="4" t="s">
        <v>211</v>
      </c>
      <c r="E358" s="4" t="s">
        <v>119</v>
      </c>
      <c r="F358" s="4" t="s">
        <v>72</v>
      </c>
    </row>
    <row r="359" customFormat="false" ht="15" hidden="false" customHeight="false" outlineLevel="0" collapsed="false">
      <c r="A359" s="5" t="s">
        <v>428</v>
      </c>
      <c r="B359" s="4" t="n">
        <v>100</v>
      </c>
      <c r="C359" s="4" t="s">
        <v>69</v>
      </c>
      <c r="D359" s="4" t="s">
        <v>429</v>
      </c>
      <c r="E359" s="4" t="s">
        <v>430</v>
      </c>
      <c r="F359" s="4" t="s">
        <v>72</v>
      </c>
    </row>
    <row r="360" customFormat="false" ht="15" hidden="false" customHeight="false" outlineLevel="0" collapsed="false">
      <c r="A360" s="5" t="s">
        <v>431</v>
      </c>
      <c r="B360" s="4" t="n">
        <v>80</v>
      </c>
      <c r="C360" s="4" t="s">
        <v>69</v>
      </c>
      <c r="D360" s="4" t="s">
        <v>432</v>
      </c>
      <c r="E360" s="4" t="s">
        <v>120</v>
      </c>
      <c r="F360" s="4" t="s">
        <v>72</v>
      </c>
    </row>
    <row r="361" customFormat="false" ht="15" hidden="false" customHeight="false" outlineLevel="0" collapsed="false">
      <c r="A361" s="5" t="s">
        <v>433</v>
      </c>
      <c r="B361" s="4" t="n">
        <v>10</v>
      </c>
      <c r="C361" s="4" t="s">
        <v>69</v>
      </c>
      <c r="D361" s="4" t="s">
        <v>81</v>
      </c>
      <c r="E361" s="4" t="s">
        <v>308</v>
      </c>
      <c r="F361" s="4" t="s">
        <v>72</v>
      </c>
    </row>
    <row r="362" customFormat="false" ht="15" hidden="false" customHeight="false" outlineLevel="0" collapsed="false">
      <c r="A362" s="5" t="s">
        <v>98</v>
      </c>
      <c r="B362" s="4" t="n">
        <v>1</v>
      </c>
      <c r="C362" s="4" t="s">
        <v>69</v>
      </c>
      <c r="D362" s="4"/>
      <c r="E362" s="4" t="s">
        <v>97</v>
      </c>
      <c r="F362" s="10" t="s">
        <v>79</v>
      </c>
    </row>
    <row r="363" customFormat="false" ht="15" hidden="false" customHeight="false" outlineLevel="0" collapsed="false">
      <c r="A363" s="5" t="s">
        <v>95</v>
      </c>
      <c r="B363" s="4" t="n">
        <v>1</v>
      </c>
      <c r="C363" s="4" t="s">
        <v>69</v>
      </c>
      <c r="D363" s="4" t="s">
        <v>434</v>
      </c>
      <c r="E363" s="4" t="s">
        <v>97</v>
      </c>
      <c r="F363" s="10" t="s">
        <v>79</v>
      </c>
    </row>
    <row r="364" customFormat="false" ht="15" hidden="false" customHeight="true" outlineLevel="0" collapsed="false">
      <c r="A364" s="3" t="s">
        <v>100</v>
      </c>
      <c r="B364" s="3" t="s">
        <v>101</v>
      </c>
      <c r="C364" s="3"/>
      <c r="D364" s="3"/>
      <c r="E364" s="3"/>
      <c r="F364" s="3"/>
    </row>
    <row r="365" customFormat="false" ht="30" hidden="false" customHeight="true" outlineLevel="0" collapsed="false">
      <c r="A365" s="4" t="n">
        <v>1</v>
      </c>
      <c r="B365" s="5" t="s">
        <v>435</v>
      </c>
      <c r="C365" s="5"/>
      <c r="D365" s="5"/>
      <c r="E365" s="5"/>
      <c r="F365" s="5"/>
    </row>
    <row r="366" customFormat="false" ht="18" hidden="false" customHeight="true" outlineLevel="0" collapsed="false">
      <c r="A366" s="4" t="n">
        <v>2</v>
      </c>
      <c r="B366" s="5" t="s">
        <v>436</v>
      </c>
      <c r="C366" s="5"/>
      <c r="D366" s="5"/>
      <c r="E366" s="5"/>
      <c r="F366" s="5"/>
    </row>
    <row r="367" customFormat="false" ht="18" hidden="false" customHeight="true" outlineLevel="0" collapsed="false">
      <c r="A367" s="4" t="n">
        <v>3</v>
      </c>
      <c r="B367" s="5" t="s">
        <v>437</v>
      </c>
      <c r="C367" s="5"/>
      <c r="D367" s="5"/>
      <c r="E367" s="5"/>
      <c r="F367" s="5"/>
    </row>
    <row r="368" customFormat="false" ht="18" hidden="false" customHeight="true" outlineLevel="0" collapsed="false">
      <c r="A368" s="4" t="n">
        <v>4</v>
      </c>
      <c r="B368" s="5" t="s">
        <v>438</v>
      </c>
      <c r="C368" s="5"/>
      <c r="D368" s="5"/>
      <c r="E368" s="5"/>
      <c r="F368" s="5"/>
    </row>
    <row r="369" customFormat="false" ht="30" hidden="false" customHeight="true" outlineLevel="0" collapsed="false">
      <c r="A369" s="4" t="n">
        <v>5</v>
      </c>
      <c r="B369" s="5" t="s">
        <v>439</v>
      </c>
      <c r="C369" s="5"/>
      <c r="D369" s="5"/>
      <c r="E369" s="5"/>
      <c r="F369" s="5"/>
    </row>
    <row r="370" customFormat="false" ht="18" hidden="false" customHeight="true" outlineLevel="0" collapsed="false">
      <c r="A370" s="4" t="n">
        <v>6</v>
      </c>
      <c r="B370" s="5" t="s">
        <v>440</v>
      </c>
      <c r="C370" s="5"/>
      <c r="D370" s="5"/>
      <c r="E370" s="5"/>
      <c r="F370" s="5"/>
    </row>
    <row r="371" customFormat="false" ht="18" hidden="false" customHeight="true" outlineLevel="0" collapsed="false">
      <c r="A371" s="4" t="n">
        <v>7</v>
      </c>
      <c r="B371" s="5" t="s">
        <v>441</v>
      </c>
      <c r="C371" s="5"/>
      <c r="D371" s="5"/>
      <c r="E371" s="5"/>
      <c r="F371" s="5"/>
    </row>
    <row r="373" customFormat="false" ht="16.15" hidden="false" customHeight="false" outlineLevel="0" collapsed="false">
      <c r="A373" s="1" t="s">
        <v>442</v>
      </c>
    </row>
    <row r="374" customFormat="false" ht="26.85" hidden="false" customHeight="true" outlineLevel="0" collapsed="false">
      <c r="A374" s="9" t="s">
        <v>54</v>
      </c>
      <c r="B374" s="5" t="s">
        <v>443</v>
      </c>
      <c r="C374" s="5"/>
      <c r="D374" s="5"/>
      <c r="E374" s="5"/>
      <c r="F374" s="5"/>
    </row>
    <row r="375" customFormat="false" ht="15" hidden="false" customHeight="true" outlineLevel="0" collapsed="false">
      <c r="A375" s="9" t="s">
        <v>56</v>
      </c>
      <c r="B375" s="5" t="s">
        <v>444</v>
      </c>
      <c r="C375" s="5"/>
      <c r="D375" s="5"/>
      <c r="E375" s="5"/>
      <c r="F375" s="5"/>
    </row>
    <row r="376" customFormat="false" ht="15" hidden="false" customHeight="true" outlineLevel="0" collapsed="false">
      <c r="A376" s="9" t="s">
        <v>58</v>
      </c>
      <c r="B376" s="5" t="s">
        <v>445</v>
      </c>
      <c r="C376" s="5"/>
      <c r="D376" s="5"/>
      <c r="E376" s="5"/>
      <c r="F376" s="5"/>
    </row>
    <row r="377" customFormat="false" ht="15" hidden="false" customHeight="true" outlineLevel="0" collapsed="false">
      <c r="A377" s="9" t="s">
        <v>60</v>
      </c>
      <c r="B377" s="5" t="s">
        <v>446</v>
      </c>
      <c r="C377" s="5"/>
      <c r="D377" s="5"/>
      <c r="E377" s="5"/>
      <c r="F377" s="5"/>
    </row>
    <row r="378" customFormat="false" ht="15" hidden="false" customHeight="false" outlineLevel="0" collapsed="false">
      <c r="A378" s="3" t="s">
        <v>62</v>
      </c>
      <c r="B378" s="3" t="s">
        <v>63</v>
      </c>
      <c r="C378" s="3" t="s">
        <v>64</v>
      </c>
      <c r="D378" s="3" t="s">
        <v>65</v>
      </c>
      <c r="E378" s="3" t="s">
        <v>66</v>
      </c>
      <c r="F378" s="3" t="s">
        <v>67</v>
      </c>
    </row>
    <row r="379" customFormat="false" ht="15" hidden="false" customHeight="false" outlineLevel="0" collapsed="false">
      <c r="A379" s="5" t="s">
        <v>447</v>
      </c>
      <c r="B379" s="4" t="n">
        <v>240</v>
      </c>
      <c r="C379" s="4" t="s">
        <v>69</v>
      </c>
      <c r="D379" s="4" t="s">
        <v>448</v>
      </c>
      <c r="E379" s="4" t="s">
        <v>71</v>
      </c>
      <c r="F379" s="4" t="s">
        <v>72</v>
      </c>
    </row>
    <row r="380" customFormat="false" ht="15" hidden="false" customHeight="false" outlineLevel="0" collapsed="false">
      <c r="A380" s="5" t="s">
        <v>428</v>
      </c>
      <c r="B380" s="4" t="n">
        <v>200</v>
      </c>
      <c r="C380" s="4" t="s">
        <v>69</v>
      </c>
      <c r="D380" s="4" t="s">
        <v>449</v>
      </c>
      <c r="E380" s="4" t="s">
        <v>430</v>
      </c>
      <c r="F380" s="4" t="s">
        <v>72</v>
      </c>
    </row>
    <row r="381" customFormat="false" ht="15" hidden="false" customHeight="false" outlineLevel="0" collapsed="false">
      <c r="A381" s="5" t="s">
        <v>450</v>
      </c>
      <c r="B381" s="4" t="n">
        <v>200</v>
      </c>
      <c r="C381" s="4" t="s">
        <v>69</v>
      </c>
      <c r="D381" s="4" t="s">
        <v>451</v>
      </c>
      <c r="E381" s="4" t="s">
        <v>452</v>
      </c>
      <c r="F381" s="4" t="s">
        <v>72</v>
      </c>
    </row>
    <row r="382" customFormat="false" ht="15" hidden="false" customHeight="false" outlineLevel="0" collapsed="false">
      <c r="A382" s="5" t="s">
        <v>117</v>
      </c>
      <c r="B382" s="4" t="n">
        <v>60</v>
      </c>
      <c r="C382" s="4" t="s">
        <v>69</v>
      </c>
      <c r="D382" s="4" t="s">
        <v>453</v>
      </c>
      <c r="E382" s="4" t="s">
        <v>119</v>
      </c>
      <c r="F382" s="4" t="s">
        <v>72</v>
      </c>
    </row>
    <row r="383" customFormat="false" ht="15" hidden="false" customHeight="false" outlineLevel="0" collapsed="false">
      <c r="A383" s="5" t="s">
        <v>454</v>
      </c>
      <c r="B383" s="4" t="n">
        <v>14</v>
      </c>
      <c r="C383" s="4" t="s">
        <v>69</v>
      </c>
      <c r="D383" s="4" t="s">
        <v>455</v>
      </c>
      <c r="E383" s="4" t="s">
        <v>456</v>
      </c>
      <c r="F383" s="10" t="s">
        <v>79</v>
      </c>
    </row>
    <row r="384" customFormat="false" ht="15" hidden="false" customHeight="false" outlineLevel="0" collapsed="false">
      <c r="A384" s="5" t="s">
        <v>457</v>
      </c>
      <c r="B384" s="4" t="n">
        <v>10</v>
      </c>
      <c r="C384" s="4" t="s">
        <v>69</v>
      </c>
      <c r="D384" s="4" t="s">
        <v>407</v>
      </c>
      <c r="E384" s="4" t="s">
        <v>221</v>
      </c>
      <c r="F384" s="4" t="s">
        <v>72</v>
      </c>
    </row>
    <row r="385" customFormat="false" ht="15" hidden="false" customHeight="false" outlineLevel="0" collapsed="false">
      <c r="A385" s="5" t="s">
        <v>458</v>
      </c>
      <c r="B385" s="4" t="n">
        <v>200</v>
      </c>
      <c r="C385" s="4" t="s">
        <v>74</v>
      </c>
      <c r="D385" s="4" t="s">
        <v>459</v>
      </c>
      <c r="E385" s="4" t="s">
        <v>174</v>
      </c>
      <c r="F385" s="4" t="s">
        <v>72</v>
      </c>
    </row>
    <row r="386" customFormat="false" ht="15" hidden="false" customHeight="false" outlineLevel="0" collapsed="false">
      <c r="A386" s="5" t="s">
        <v>168</v>
      </c>
      <c r="B386" s="4" t="n">
        <v>30</v>
      </c>
      <c r="C386" s="4" t="s">
        <v>74</v>
      </c>
      <c r="D386" s="4" t="s">
        <v>89</v>
      </c>
      <c r="E386" s="4" t="s">
        <v>90</v>
      </c>
      <c r="F386" s="4" t="s">
        <v>72</v>
      </c>
    </row>
    <row r="387" customFormat="false" ht="15" hidden="false" customHeight="false" outlineLevel="0" collapsed="false">
      <c r="A387" s="5" t="s">
        <v>460</v>
      </c>
      <c r="B387" s="4" t="n">
        <v>200</v>
      </c>
      <c r="C387" s="4" t="s">
        <v>69</v>
      </c>
      <c r="D387" s="4" t="s">
        <v>461</v>
      </c>
      <c r="E387" s="4" t="s">
        <v>462</v>
      </c>
      <c r="F387" s="4" t="s">
        <v>72</v>
      </c>
    </row>
    <row r="388" customFormat="false" ht="15" hidden="false" customHeight="false" outlineLevel="0" collapsed="false">
      <c r="A388" s="5" t="s">
        <v>463</v>
      </c>
      <c r="B388" s="4" t="n">
        <v>240</v>
      </c>
      <c r="C388" s="4" t="s">
        <v>74</v>
      </c>
      <c r="D388" s="4" t="s">
        <v>464</v>
      </c>
      <c r="E388" s="4" t="s">
        <v>174</v>
      </c>
      <c r="F388" s="4" t="s">
        <v>72</v>
      </c>
    </row>
    <row r="389" customFormat="false" ht="15" hidden="false" customHeight="false" outlineLevel="0" collapsed="false">
      <c r="A389" s="5" t="s">
        <v>98</v>
      </c>
      <c r="B389" s="4" t="n">
        <v>1</v>
      </c>
      <c r="C389" s="4" t="s">
        <v>69</v>
      </c>
      <c r="D389" s="4"/>
      <c r="E389" s="4" t="s">
        <v>97</v>
      </c>
      <c r="F389" s="10" t="s">
        <v>79</v>
      </c>
    </row>
    <row r="390" customFormat="false" ht="15" hidden="false" customHeight="false" outlineLevel="0" collapsed="false">
      <c r="A390" s="5" t="s">
        <v>95</v>
      </c>
      <c r="B390" s="4" t="n">
        <v>1</v>
      </c>
      <c r="C390" s="4" t="s">
        <v>69</v>
      </c>
      <c r="D390" s="4"/>
      <c r="E390" s="4" t="s">
        <v>97</v>
      </c>
      <c r="F390" s="10" t="s">
        <v>79</v>
      </c>
    </row>
    <row r="391" customFormat="false" ht="15" hidden="false" customHeight="true" outlineLevel="0" collapsed="false">
      <c r="A391" s="3" t="s">
        <v>100</v>
      </c>
      <c r="B391" s="3" t="s">
        <v>101</v>
      </c>
      <c r="C391" s="3"/>
      <c r="D391" s="3"/>
      <c r="E391" s="3"/>
      <c r="F391" s="3"/>
    </row>
    <row r="392" customFormat="false" ht="30" hidden="false" customHeight="true" outlineLevel="0" collapsed="false">
      <c r="A392" s="4" t="n">
        <v>1</v>
      </c>
      <c r="B392" s="5" t="s">
        <v>465</v>
      </c>
      <c r="C392" s="5"/>
      <c r="D392" s="5"/>
      <c r="E392" s="5"/>
      <c r="F392" s="5"/>
    </row>
    <row r="393" customFormat="false" ht="30" hidden="false" customHeight="true" outlineLevel="0" collapsed="false">
      <c r="A393" s="4" t="n">
        <v>2</v>
      </c>
      <c r="B393" s="5" t="s">
        <v>466</v>
      </c>
      <c r="C393" s="5"/>
      <c r="D393" s="5"/>
      <c r="E393" s="5"/>
      <c r="F393" s="5"/>
    </row>
    <row r="394" customFormat="false" ht="18" hidden="false" customHeight="true" outlineLevel="0" collapsed="false">
      <c r="A394" s="4" t="n">
        <v>3</v>
      </c>
      <c r="B394" s="5" t="s">
        <v>467</v>
      </c>
      <c r="C394" s="5"/>
      <c r="D394" s="5"/>
      <c r="E394" s="5"/>
      <c r="F394" s="5"/>
    </row>
    <row r="395" customFormat="false" ht="30" hidden="false" customHeight="true" outlineLevel="0" collapsed="false">
      <c r="A395" s="4" t="n">
        <v>4</v>
      </c>
      <c r="B395" s="5" t="s">
        <v>468</v>
      </c>
      <c r="C395" s="5"/>
      <c r="D395" s="5"/>
      <c r="E395" s="5"/>
      <c r="F395" s="5"/>
    </row>
    <row r="396" customFormat="false" ht="18" hidden="false" customHeight="true" outlineLevel="0" collapsed="false">
      <c r="A396" s="4" t="n">
        <v>5</v>
      </c>
      <c r="B396" s="5" t="s">
        <v>469</v>
      </c>
      <c r="C396" s="5"/>
      <c r="D396" s="5"/>
      <c r="E396" s="5"/>
      <c r="F396" s="5"/>
    </row>
    <row r="397" customFormat="false" ht="30" hidden="false" customHeight="true" outlineLevel="0" collapsed="false">
      <c r="A397" s="4" t="n">
        <v>6</v>
      </c>
      <c r="B397" s="5" t="s">
        <v>470</v>
      </c>
      <c r="C397" s="5"/>
      <c r="D397" s="5"/>
      <c r="E397" s="5"/>
      <c r="F397" s="5"/>
    </row>
    <row r="398" customFormat="false" ht="30" hidden="false" customHeight="true" outlineLevel="0" collapsed="false">
      <c r="A398" s="4" t="n">
        <v>7</v>
      </c>
      <c r="B398" s="5" t="s">
        <v>471</v>
      </c>
      <c r="C398" s="5"/>
      <c r="D398" s="5"/>
      <c r="E398" s="5"/>
      <c r="F398" s="5"/>
    </row>
    <row r="400" customFormat="false" ht="16.15" hidden="false" customHeight="false" outlineLevel="0" collapsed="false">
      <c r="A400" s="1" t="s">
        <v>472</v>
      </c>
    </row>
    <row r="401" customFormat="false" ht="15" hidden="false" customHeight="true" outlineLevel="0" collapsed="false">
      <c r="A401" s="9" t="s">
        <v>54</v>
      </c>
      <c r="B401" s="5" t="s">
        <v>473</v>
      </c>
      <c r="C401" s="5"/>
      <c r="D401" s="5"/>
      <c r="E401" s="5"/>
      <c r="F401" s="5"/>
    </row>
    <row r="402" customFormat="false" ht="15" hidden="false" customHeight="true" outlineLevel="0" collapsed="false">
      <c r="A402" s="9" t="s">
        <v>56</v>
      </c>
      <c r="B402" s="5" t="s">
        <v>474</v>
      </c>
      <c r="C402" s="5"/>
      <c r="D402" s="5"/>
      <c r="E402" s="5"/>
      <c r="F402" s="5"/>
    </row>
    <row r="403" customFormat="false" ht="15" hidden="false" customHeight="true" outlineLevel="0" collapsed="false">
      <c r="A403" s="9" t="s">
        <v>58</v>
      </c>
      <c r="B403" s="5" t="s">
        <v>475</v>
      </c>
      <c r="C403" s="5"/>
      <c r="D403" s="5"/>
      <c r="E403" s="5"/>
      <c r="F403" s="5"/>
    </row>
    <row r="404" customFormat="false" ht="15" hidden="false" customHeight="true" outlineLevel="0" collapsed="false">
      <c r="A404" s="9" t="s">
        <v>60</v>
      </c>
      <c r="B404" s="5" t="s">
        <v>476</v>
      </c>
      <c r="C404" s="5"/>
      <c r="D404" s="5"/>
      <c r="E404" s="5"/>
      <c r="F404" s="5"/>
    </row>
    <row r="405" customFormat="false" ht="15" hidden="false" customHeight="false" outlineLevel="0" collapsed="false">
      <c r="A405" s="3" t="s">
        <v>62</v>
      </c>
      <c r="B405" s="3" t="s">
        <v>63</v>
      </c>
      <c r="C405" s="3" t="s">
        <v>64</v>
      </c>
      <c r="D405" s="3" t="s">
        <v>65</v>
      </c>
      <c r="E405" s="3" t="s">
        <v>66</v>
      </c>
      <c r="F405" s="3" t="s">
        <v>67</v>
      </c>
    </row>
    <row r="406" customFormat="false" ht="26.85" hidden="false" customHeight="false" outlineLevel="0" collapsed="false">
      <c r="A406" s="5" t="s">
        <v>477</v>
      </c>
      <c r="B406" s="4" t="n">
        <v>300</v>
      </c>
      <c r="C406" s="4" t="s">
        <v>69</v>
      </c>
      <c r="D406" s="4" t="s">
        <v>70</v>
      </c>
      <c r="E406" s="4" t="s">
        <v>71</v>
      </c>
      <c r="F406" s="4" t="s">
        <v>72</v>
      </c>
    </row>
    <row r="407" customFormat="false" ht="26.85" hidden="false" customHeight="false" outlineLevel="0" collapsed="false">
      <c r="A407" s="5" t="s">
        <v>478</v>
      </c>
      <c r="B407" s="4" t="n">
        <v>400</v>
      </c>
      <c r="C407" s="4" t="s">
        <v>69</v>
      </c>
      <c r="D407" s="4" t="s">
        <v>479</v>
      </c>
      <c r="E407" s="4" t="s">
        <v>167</v>
      </c>
      <c r="F407" s="4" t="s">
        <v>72</v>
      </c>
    </row>
    <row r="408" customFormat="false" ht="15" hidden="false" customHeight="false" outlineLevel="0" collapsed="false">
      <c r="A408" s="5" t="s">
        <v>285</v>
      </c>
      <c r="B408" s="4" t="n">
        <v>80</v>
      </c>
      <c r="C408" s="4" t="s">
        <v>69</v>
      </c>
      <c r="D408" s="4" t="s">
        <v>326</v>
      </c>
      <c r="E408" s="4" t="s">
        <v>285</v>
      </c>
      <c r="F408" s="4" t="s">
        <v>72</v>
      </c>
    </row>
    <row r="409" customFormat="false" ht="15" hidden="false" customHeight="false" outlineLevel="0" collapsed="false">
      <c r="A409" s="5" t="s">
        <v>283</v>
      </c>
      <c r="B409" s="4" t="n">
        <v>40</v>
      </c>
      <c r="C409" s="4" t="s">
        <v>69</v>
      </c>
      <c r="D409" s="4" t="s">
        <v>480</v>
      </c>
      <c r="E409" s="4" t="s">
        <v>285</v>
      </c>
      <c r="F409" s="4" t="s">
        <v>72</v>
      </c>
    </row>
    <row r="410" customFormat="false" ht="15" hidden="false" customHeight="false" outlineLevel="0" collapsed="false">
      <c r="A410" s="5" t="s">
        <v>117</v>
      </c>
      <c r="B410" s="4" t="n">
        <v>60</v>
      </c>
      <c r="C410" s="4" t="s">
        <v>69</v>
      </c>
      <c r="D410" s="4" t="s">
        <v>453</v>
      </c>
      <c r="E410" s="4" t="s">
        <v>119</v>
      </c>
      <c r="F410" s="4" t="s">
        <v>72</v>
      </c>
    </row>
    <row r="411" customFormat="false" ht="15" hidden="false" customHeight="false" outlineLevel="0" collapsed="false">
      <c r="A411" s="5" t="s">
        <v>212</v>
      </c>
      <c r="B411" s="4" t="n">
        <v>6</v>
      </c>
      <c r="C411" s="4" t="s">
        <v>69</v>
      </c>
      <c r="D411" s="4" t="s">
        <v>384</v>
      </c>
      <c r="E411" s="4" t="s">
        <v>214</v>
      </c>
      <c r="F411" s="4" t="s">
        <v>72</v>
      </c>
    </row>
    <row r="412" customFormat="false" ht="26.85" hidden="false" customHeight="false" outlineLevel="0" collapsed="false">
      <c r="A412" s="5" t="s">
        <v>481</v>
      </c>
      <c r="B412" s="4" t="n">
        <v>2</v>
      </c>
      <c r="C412" s="4" t="s">
        <v>69</v>
      </c>
      <c r="D412" s="4" t="s">
        <v>330</v>
      </c>
      <c r="E412" s="4" t="s">
        <v>331</v>
      </c>
      <c r="F412" s="10" t="s">
        <v>79</v>
      </c>
    </row>
    <row r="413" customFormat="false" ht="15" hidden="false" customHeight="false" outlineLevel="0" collapsed="false">
      <c r="A413" s="5" t="s">
        <v>91</v>
      </c>
      <c r="B413" s="4" t="n">
        <v>180</v>
      </c>
      <c r="C413" s="4" t="s">
        <v>69</v>
      </c>
      <c r="D413" s="4" t="s">
        <v>286</v>
      </c>
      <c r="E413" s="4" t="s">
        <v>93</v>
      </c>
      <c r="F413" s="4" t="s">
        <v>72</v>
      </c>
    </row>
    <row r="414" customFormat="false" ht="15" hidden="false" customHeight="false" outlineLevel="0" collapsed="false">
      <c r="A414" s="5" t="s">
        <v>308</v>
      </c>
      <c r="B414" s="4" t="n">
        <v>20</v>
      </c>
      <c r="C414" s="4" t="s">
        <v>69</v>
      </c>
      <c r="D414" s="4" t="s">
        <v>482</v>
      </c>
      <c r="E414" s="4" t="s">
        <v>308</v>
      </c>
      <c r="F414" s="4" t="s">
        <v>72</v>
      </c>
    </row>
    <row r="415" customFormat="false" ht="15" hidden="false" customHeight="false" outlineLevel="0" collapsed="false">
      <c r="A415" s="5" t="s">
        <v>168</v>
      </c>
      <c r="B415" s="4" t="n">
        <v>20</v>
      </c>
      <c r="C415" s="4" t="s">
        <v>74</v>
      </c>
      <c r="D415" s="4" t="s">
        <v>169</v>
      </c>
      <c r="E415" s="4" t="s">
        <v>90</v>
      </c>
      <c r="F415" s="4" t="s">
        <v>72</v>
      </c>
    </row>
    <row r="416" customFormat="false" ht="15" hidden="false" customHeight="false" outlineLevel="0" collapsed="false">
      <c r="A416" s="5" t="s">
        <v>95</v>
      </c>
      <c r="B416" s="4" t="n">
        <v>2</v>
      </c>
      <c r="C416" s="4" t="s">
        <v>69</v>
      </c>
      <c r="D416" s="4"/>
      <c r="E416" s="4" t="s">
        <v>97</v>
      </c>
      <c r="F416" s="10" t="s">
        <v>79</v>
      </c>
    </row>
    <row r="417" customFormat="false" ht="15" hidden="false" customHeight="false" outlineLevel="0" collapsed="false">
      <c r="A417" s="5" t="s">
        <v>98</v>
      </c>
      <c r="B417" s="4" t="n">
        <v>1</v>
      </c>
      <c r="C417" s="4" t="s">
        <v>69</v>
      </c>
      <c r="D417" s="4"/>
      <c r="E417" s="4" t="s">
        <v>97</v>
      </c>
      <c r="F417" s="10" t="s">
        <v>79</v>
      </c>
    </row>
    <row r="418" customFormat="false" ht="15" hidden="false" customHeight="true" outlineLevel="0" collapsed="false">
      <c r="A418" s="3" t="s">
        <v>100</v>
      </c>
      <c r="B418" s="3" t="s">
        <v>101</v>
      </c>
      <c r="C418" s="3"/>
      <c r="D418" s="3"/>
      <c r="E418" s="3"/>
      <c r="F418" s="3"/>
    </row>
    <row r="419" customFormat="false" ht="30" hidden="false" customHeight="true" outlineLevel="0" collapsed="false">
      <c r="A419" s="4" t="n">
        <v>1</v>
      </c>
      <c r="B419" s="5" t="s">
        <v>483</v>
      </c>
      <c r="C419" s="5"/>
      <c r="D419" s="5"/>
      <c r="E419" s="5"/>
      <c r="F419" s="5"/>
    </row>
    <row r="420" customFormat="false" ht="30" hidden="false" customHeight="true" outlineLevel="0" collapsed="false">
      <c r="A420" s="4" t="n">
        <v>2</v>
      </c>
      <c r="B420" s="5" t="s">
        <v>484</v>
      </c>
      <c r="C420" s="5"/>
      <c r="D420" s="5"/>
      <c r="E420" s="5"/>
      <c r="F420" s="5"/>
    </row>
    <row r="421" customFormat="false" ht="18" hidden="false" customHeight="true" outlineLevel="0" collapsed="false">
      <c r="A421" s="4" t="n">
        <v>3</v>
      </c>
      <c r="B421" s="5" t="s">
        <v>485</v>
      </c>
      <c r="C421" s="5"/>
      <c r="D421" s="5"/>
      <c r="E421" s="5"/>
      <c r="F421" s="5"/>
    </row>
    <row r="422" customFormat="false" ht="30" hidden="false" customHeight="true" outlineLevel="0" collapsed="false">
      <c r="A422" s="4" t="n">
        <v>4</v>
      </c>
      <c r="B422" s="5" t="s">
        <v>486</v>
      </c>
      <c r="C422" s="5"/>
      <c r="D422" s="5"/>
      <c r="E422" s="5"/>
      <c r="F422" s="5"/>
    </row>
    <row r="423" customFormat="false" ht="30" hidden="false" customHeight="true" outlineLevel="0" collapsed="false">
      <c r="A423" s="4" t="n">
        <v>5</v>
      </c>
      <c r="B423" s="5" t="s">
        <v>487</v>
      </c>
      <c r="C423" s="5"/>
      <c r="D423" s="5"/>
      <c r="E423" s="5"/>
      <c r="F423" s="5"/>
    </row>
    <row r="424" customFormat="false" ht="30" hidden="false" customHeight="true" outlineLevel="0" collapsed="false">
      <c r="A424" s="4" t="n">
        <v>6</v>
      </c>
      <c r="B424" s="5" t="s">
        <v>488</v>
      </c>
      <c r="C424" s="5"/>
      <c r="D424" s="5"/>
      <c r="E424" s="5"/>
      <c r="F424" s="5"/>
    </row>
    <row r="425" customFormat="false" ht="30" hidden="false" customHeight="true" outlineLevel="0" collapsed="false">
      <c r="A425" s="4" t="n">
        <v>7</v>
      </c>
      <c r="B425" s="5" t="s">
        <v>489</v>
      </c>
      <c r="C425" s="5"/>
      <c r="D425" s="5"/>
      <c r="E425" s="5"/>
      <c r="F425" s="5"/>
    </row>
    <row r="427" customFormat="false" ht="16.15" hidden="false" customHeight="false" outlineLevel="0" collapsed="false">
      <c r="A427" s="1" t="s">
        <v>490</v>
      </c>
    </row>
    <row r="428" customFormat="false" ht="15" hidden="false" customHeight="true" outlineLevel="0" collapsed="false">
      <c r="A428" s="9" t="s">
        <v>54</v>
      </c>
      <c r="B428" s="5" t="s">
        <v>491</v>
      </c>
      <c r="C428" s="5"/>
      <c r="D428" s="5"/>
      <c r="E428" s="5"/>
      <c r="F428" s="5"/>
    </row>
    <row r="429" customFormat="false" ht="15" hidden="false" customHeight="true" outlineLevel="0" collapsed="false">
      <c r="A429" s="9" t="s">
        <v>56</v>
      </c>
      <c r="B429" s="5" t="s">
        <v>492</v>
      </c>
      <c r="C429" s="5"/>
      <c r="D429" s="5"/>
      <c r="E429" s="5"/>
      <c r="F429" s="5"/>
    </row>
    <row r="430" customFormat="false" ht="15" hidden="false" customHeight="true" outlineLevel="0" collapsed="false">
      <c r="A430" s="9" t="s">
        <v>58</v>
      </c>
      <c r="B430" s="5" t="s">
        <v>493</v>
      </c>
      <c r="C430" s="5"/>
      <c r="D430" s="5"/>
      <c r="E430" s="5"/>
      <c r="F430" s="5"/>
    </row>
    <row r="431" customFormat="false" ht="15" hidden="false" customHeight="true" outlineLevel="0" collapsed="false">
      <c r="A431" s="9" t="s">
        <v>60</v>
      </c>
      <c r="B431" s="5" t="s">
        <v>494</v>
      </c>
      <c r="C431" s="5"/>
      <c r="D431" s="5"/>
      <c r="E431" s="5"/>
      <c r="F431" s="5"/>
    </row>
    <row r="432" customFormat="false" ht="15" hidden="false" customHeight="false" outlineLevel="0" collapsed="false">
      <c r="A432" s="3" t="s">
        <v>62</v>
      </c>
      <c r="B432" s="3" t="s">
        <v>63</v>
      </c>
      <c r="C432" s="3" t="s">
        <v>64</v>
      </c>
      <c r="D432" s="3" t="s">
        <v>65</v>
      </c>
      <c r="E432" s="3" t="s">
        <v>66</v>
      </c>
      <c r="F432" s="3" t="s">
        <v>67</v>
      </c>
    </row>
    <row r="433" customFormat="false" ht="15" hidden="false" customHeight="false" outlineLevel="0" collapsed="false">
      <c r="A433" s="5" t="s">
        <v>196</v>
      </c>
      <c r="B433" s="4" t="n">
        <v>220</v>
      </c>
      <c r="C433" s="4" t="s">
        <v>69</v>
      </c>
      <c r="D433" s="4" t="s">
        <v>495</v>
      </c>
      <c r="E433" s="4" t="s">
        <v>196</v>
      </c>
      <c r="F433" s="4" t="s">
        <v>72</v>
      </c>
    </row>
    <row r="434" customFormat="false" ht="15" hidden="false" customHeight="false" outlineLevel="0" collapsed="false">
      <c r="A434" s="5" t="s">
        <v>496</v>
      </c>
      <c r="B434" s="4" t="n">
        <v>80</v>
      </c>
      <c r="C434" s="4" t="s">
        <v>69</v>
      </c>
      <c r="D434" s="4" t="s">
        <v>497</v>
      </c>
      <c r="E434" s="4" t="s">
        <v>498</v>
      </c>
      <c r="F434" s="4" t="s">
        <v>72</v>
      </c>
    </row>
    <row r="435" customFormat="false" ht="15" hidden="false" customHeight="false" outlineLevel="0" collapsed="false">
      <c r="A435" s="5" t="s">
        <v>499</v>
      </c>
      <c r="B435" s="4" t="n">
        <v>260</v>
      </c>
      <c r="C435" s="4" t="s">
        <v>69</v>
      </c>
      <c r="D435" s="4" t="s">
        <v>500</v>
      </c>
      <c r="E435" s="4" t="s">
        <v>501</v>
      </c>
      <c r="F435" s="4" t="s">
        <v>72</v>
      </c>
    </row>
    <row r="436" customFormat="false" ht="15" hidden="false" customHeight="false" outlineLevel="0" collapsed="false">
      <c r="A436" s="5" t="s">
        <v>285</v>
      </c>
      <c r="B436" s="4" t="n">
        <v>150</v>
      </c>
      <c r="C436" s="4" t="s">
        <v>69</v>
      </c>
      <c r="D436" s="4" t="s">
        <v>502</v>
      </c>
      <c r="E436" s="4" t="s">
        <v>285</v>
      </c>
      <c r="F436" s="4" t="s">
        <v>72</v>
      </c>
    </row>
    <row r="437" customFormat="false" ht="15" hidden="false" customHeight="false" outlineLevel="0" collapsed="false">
      <c r="A437" s="5" t="s">
        <v>503</v>
      </c>
      <c r="B437" s="4" t="n">
        <v>200</v>
      </c>
      <c r="C437" s="4" t="s">
        <v>69</v>
      </c>
      <c r="D437" s="4" t="s">
        <v>328</v>
      </c>
      <c r="E437" s="4" t="s">
        <v>167</v>
      </c>
      <c r="F437" s="4" t="s">
        <v>72</v>
      </c>
    </row>
    <row r="438" customFormat="false" ht="15" hidden="false" customHeight="false" outlineLevel="0" collapsed="false">
      <c r="A438" s="5" t="s">
        <v>383</v>
      </c>
      <c r="B438" s="4" t="n">
        <v>100</v>
      </c>
      <c r="C438" s="4" t="s">
        <v>69</v>
      </c>
      <c r="D438" s="4" t="s">
        <v>197</v>
      </c>
      <c r="E438" s="4" t="s">
        <v>119</v>
      </c>
      <c r="F438" s="4" t="s">
        <v>72</v>
      </c>
    </row>
    <row r="439" customFormat="false" ht="15" hidden="false" customHeight="false" outlineLevel="0" collapsed="false">
      <c r="A439" s="5" t="s">
        <v>504</v>
      </c>
      <c r="B439" s="4" t="n">
        <v>1</v>
      </c>
      <c r="C439" s="4" t="s">
        <v>69</v>
      </c>
      <c r="D439" s="4" t="s">
        <v>96</v>
      </c>
      <c r="E439" s="4" t="s">
        <v>505</v>
      </c>
      <c r="F439" s="10" t="s">
        <v>79</v>
      </c>
    </row>
    <row r="440" customFormat="false" ht="15" hidden="false" customHeight="false" outlineLevel="0" collapsed="false">
      <c r="A440" s="5" t="s">
        <v>332</v>
      </c>
      <c r="B440" s="4" t="n">
        <v>1</v>
      </c>
      <c r="C440" s="4" t="s">
        <v>69</v>
      </c>
      <c r="D440" s="4" t="s">
        <v>96</v>
      </c>
      <c r="E440" s="4" t="s">
        <v>333</v>
      </c>
      <c r="F440" s="10" t="s">
        <v>79</v>
      </c>
    </row>
    <row r="441" customFormat="false" ht="15" hidden="false" customHeight="false" outlineLevel="0" collapsed="false">
      <c r="A441" s="5" t="s">
        <v>168</v>
      </c>
      <c r="B441" s="4" t="n">
        <v>16</v>
      </c>
      <c r="C441" s="4" t="s">
        <v>74</v>
      </c>
      <c r="D441" s="4" t="s">
        <v>249</v>
      </c>
      <c r="E441" s="4" t="s">
        <v>90</v>
      </c>
      <c r="F441" s="10" t="s">
        <v>79</v>
      </c>
    </row>
    <row r="442" customFormat="false" ht="15" hidden="false" customHeight="false" outlineLevel="0" collapsed="false">
      <c r="A442" s="5" t="s">
        <v>506</v>
      </c>
      <c r="B442" s="4" t="n">
        <v>1</v>
      </c>
      <c r="C442" s="4" t="s">
        <v>69</v>
      </c>
      <c r="D442" s="4" t="s">
        <v>96</v>
      </c>
      <c r="E442" s="4" t="s">
        <v>506</v>
      </c>
      <c r="F442" s="10" t="s">
        <v>79</v>
      </c>
    </row>
    <row r="443" customFormat="false" ht="15" hidden="false" customHeight="false" outlineLevel="0" collapsed="false">
      <c r="A443" s="5" t="s">
        <v>95</v>
      </c>
      <c r="B443" s="4" t="n">
        <v>1</v>
      </c>
      <c r="C443" s="4" t="s">
        <v>69</v>
      </c>
      <c r="D443" s="4"/>
      <c r="E443" s="4" t="s">
        <v>97</v>
      </c>
      <c r="F443" s="10" t="s">
        <v>79</v>
      </c>
    </row>
    <row r="444" customFormat="false" ht="15" hidden="false" customHeight="false" outlineLevel="0" collapsed="false">
      <c r="A444" s="5" t="s">
        <v>98</v>
      </c>
      <c r="B444" s="4" t="n">
        <v>1</v>
      </c>
      <c r="C444" s="4" t="s">
        <v>69</v>
      </c>
      <c r="D444" s="4"/>
      <c r="E444" s="4" t="s">
        <v>97</v>
      </c>
      <c r="F444" s="10" t="s">
        <v>79</v>
      </c>
    </row>
    <row r="445" customFormat="false" ht="15" hidden="false" customHeight="true" outlineLevel="0" collapsed="false">
      <c r="A445" s="3" t="s">
        <v>100</v>
      </c>
      <c r="B445" s="3" t="s">
        <v>101</v>
      </c>
      <c r="C445" s="3"/>
      <c r="D445" s="3"/>
      <c r="E445" s="3"/>
      <c r="F445" s="3"/>
    </row>
    <row r="446" customFormat="false" ht="18" hidden="false" customHeight="true" outlineLevel="0" collapsed="false">
      <c r="A446" s="4" t="n">
        <v>1</v>
      </c>
      <c r="B446" s="5" t="s">
        <v>507</v>
      </c>
      <c r="C446" s="5"/>
      <c r="D446" s="5"/>
      <c r="E446" s="5"/>
      <c r="F446" s="5"/>
    </row>
    <row r="447" customFormat="false" ht="30" hidden="false" customHeight="true" outlineLevel="0" collapsed="false">
      <c r="A447" s="4" t="n">
        <v>2</v>
      </c>
      <c r="B447" s="5" t="s">
        <v>508</v>
      </c>
      <c r="C447" s="5"/>
      <c r="D447" s="5"/>
      <c r="E447" s="5"/>
      <c r="F447" s="5"/>
    </row>
    <row r="448" customFormat="false" ht="30" hidden="false" customHeight="true" outlineLevel="0" collapsed="false">
      <c r="A448" s="4" t="n">
        <v>3</v>
      </c>
      <c r="B448" s="5" t="s">
        <v>509</v>
      </c>
      <c r="C448" s="5"/>
      <c r="D448" s="5"/>
      <c r="E448" s="5"/>
      <c r="F448" s="5"/>
    </row>
    <row r="449" customFormat="false" ht="30" hidden="false" customHeight="true" outlineLevel="0" collapsed="false">
      <c r="A449" s="4" t="n">
        <v>4</v>
      </c>
      <c r="B449" s="5" t="s">
        <v>510</v>
      </c>
      <c r="C449" s="5"/>
      <c r="D449" s="5"/>
      <c r="E449" s="5"/>
      <c r="F449" s="5"/>
    </row>
    <row r="450" customFormat="false" ht="30" hidden="false" customHeight="true" outlineLevel="0" collapsed="false">
      <c r="A450" s="4" t="n">
        <v>5</v>
      </c>
      <c r="B450" s="5" t="s">
        <v>511</v>
      </c>
      <c r="C450" s="5"/>
      <c r="D450" s="5"/>
      <c r="E450" s="5"/>
      <c r="F450" s="5"/>
    </row>
    <row r="451" customFormat="false" ht="18" hidden="false" customHeight="true" outlineLevel="0" collapsed="false">
      <c r="A451" s="4" t="n">
        <v>6</v>
      </c>
      <c r="B451" s="5" t="s">
        <v>512</v>
      </c>
      <c r="C451" s="5"/>
      <c r="D451" s="5"/>
      <c r="E451" s="5"/>
      <c r="F451" s="5"/>
    </row>
    <row r="452" customFormat="false" ht="45" hidden="false" customHeight="true" outlineLevel="0" collapsed="false">
      <c r="A452" s="4" t="n">
        <v>7</v>
      </c>
      <c r="B452" s="5" t="s">
        <v>513</v>
      </c>
      <c r="C452" s="5"/>
      <c r="D452" s="5"/>
      <c r="E452" s="5"/>
      <c r="F452" s="5"/>
    </row>
    <row r="454" customFormat="false" ht="16.15" hidden="false" customHeight="false" outlineLevel="0" collapsed="false">
      <c r="A454" s="1" t="s">
        <v>514</v>
      </c>
    </row>
    <row r="455" customFormat="false" ht="15" hidden="false" customHeight="true" outlineLevel="0" collapsed="false">
      <c r="A455" s="9" t="s">
        <v>54</v>
      </c>
      <c r="B455" s="5" t="s">
        <v>515</v>
      </c>
      <c r="C455" s="5"/>
      <c r="D455" s="5"/>
      <c r="E455" s="5"/>
      <c r="F455" s="5"/>
    </row>
    <row r="456" customFormat="false" ht="15" hidden="false" customHeight="true" outlineLevel="0" collapsed="false">
      <c r="A456" s="9" t="s">
        <v>56</v>
      </c>
      <c r="B456" s="5" t="s">
        <v>356</v>
      </c>
      <c r="C456" s="5"/>
      <c r="D456" s="5"/>
      <c r="E456" s="5"/>
      <c r="F456" s="5"/>
    </row>
    <row r="457" customFormat="false" ht="15" hidden="false" customHeight="true" outlineLevel="0" collapsed="false">
      <c r="A457" s="9" t="s">
        <v>58</v>
      </c>
      <c r="B457" s="5" t="s">
        <v>516</v>
      </c>
      <c r="C457" s="5"/>
      <c r="D457" s="5"/>
      <c r="E457" s="5"/>
      <c r="F457" s="5"/>
    </row>
    <row r="458" customFormat="false" ht="15" hidden="false" customHeight="true" outlineLevel="0" collapsed="false">
      <c r="A458" s="9" t="s">
        <v>60</v>
      </c>
      <c r="B458" s="5" t="s">
        <v>61</v>
      </c>
      <c r="C458" s="5"/>
      <c r="D458" s="5"/>
      <c r="E458" s="5"/>
      <c r="F458" s="5"/>
    </row>
    <row r="459" customFormat="false" ht="15" hidden="false" customHeight="false" outlineLevel="0" collapsed="false">
      <c r="A459" s="3" t="s">
        <v>62</v>
      </c>
      <c r="B459" s="3" t="s">
        <v>63</v>
      </c>
      <c r="C459" s="3" t="s">
        <v>64</v>
      </c>
      <c r="D459" s="3" t="s">
        <v>65</v>
      </c>
      <c r="E459" s="3" t="s">
        <v>66</v>
      </c>
      <c r="F459" s="3" t="s">
        <v>67</v>
      </c>
    </row>
    <row r="460" customFormat="false" ht="15" hidden="false" customHeight="false" outlineLevel="0" collapsed="false">
      <c r="A460" s="5" t="s">
        <v>517</v>
      </c>
      <c r="B460" s="4" t="n">
        <v>240</v>
      </c>
      <c r="C460" s="4" t="s">
        <v>69</v>
      </c>
      <c r="D460" s="4" t="s">
        <v>147</v>
      </c>
      <c r="E460" s="4" t="s">
        <v>191</v>
      </c>
      <c r="F460" s="4" t="s">
        <v>72</v>
      </c>
    </row>
    <row r="461" customFormat="false" ht="15" hidden="false" customHeight="false" outlineLevel="0" collapsed="false">
      <c r="A461" s="5" t="s">
        <v>120</v>
      </c>
      <c r="B461" s="4" t="n">
        <v>100</v>
      </c>
      <c r="C461" s="4" t="s">
        <v>69</v>
      </c>
      <c r="D461" s="4" t="s">
        <v>518</v>
      </c>
      <c r="E461" s="4" t="s">
        <v>120</v>
      </c>
      <c r="F461" s="4" t="s">
        <v>72</v>
      </c>
    </row>
    <row r="462" customFormat="false" ht="15" hidden="false" customHeight="false" outlineLevel="0" collapsed="false">
      <c r="A462" s="5" t="s">
        <v>519</v>
      </c>
      <c r="B462" s="4" t="n">
        <v>150</v>
      </c>
      <c r="C462" s="4" t="s">
        <v>74</v>
      </c>
      <c r="D462" s="4" t="s">
        <v>520</v>
      </c>
      <c r="E462" s="4" t="s">
        <v>126</v>
      </c>
      <c r="F462" s="4" t="s">
        <v>72</v>
      </c>
    </row>
    <row r="463" customFormat="false" ht="15" hidden="false" customHeight="false" outlineLevel="0" collapsed="false">
      <c r="A463" s="5" t="s">
        <v>521</v>
      </c>
      <c r="B463" s="4" t="n">
        <v>100</v>
      </c>
      <c r="C463" s="4" t="s">
        <v>69</v>
      </c>
      <c r="D463" s="4" t="s">
        <v>522</v>
      </c>
      <c r="E463" s="4" t="s">
        <v>523</v>
      </c>
      <c r="F463" s="4" t="s">
        <v>72</v>
      </c>
    </row>
    <row r="464" customFormat="false" ht="15" hidden="false" customHeight="false" outlineLevel="0" collapsed="false">
      <c r="A464" s="5" t="s">
        <v>524</v>
      </c>
      <c r="B464" s="4" t="n">
        <v>30</v>
      </c>
      <c r="C464" s="4" t="s">
        <v>69</v>
      </c>
      <c r="D464" s="4" t="s">
        <v>525</v>
      </c>
      <c r="E464" s="4" t="s">
        <v>119</v>
      </c>
      <c r="F464" s="4" t="s">
        <v>72</v>
      </c>
    </row>
    <row r="465" customFormat="false" ht="15" hidden="false" customHeight="false" outlineLevel="0" collapsed="false">
      <c r="A465" s="5" t="s">
        <v>526</v>
      </c>
      <c r="B465" s="4" t="n">
        <v>10</v>
      </c>
      <c r="C465" s="4" t="s">
        <v>69</v>
      </c>
      <c r="D465" s="4" t="s">
        <v>81</v>
      </c>
      <c r="E465" s="4" t="s">
        <v>526</v>
      </c>
      <c r="F465" s="4" t="s">
        <v>72</v>
      </c>
    </row>
    <row r="466" customFormat="false" ht="15" hidden="false" customHeight="false" outlineLevel="0" collapsed="false">
      <c r="A466" s="5" t="s">
        <v>504</v>
      </c>
      <c r="B466" s="4" t="n">
        <v>1</v>
      </c>
      <c r="C466" s="4" t="s">
        <v>69</v>
      </c>
      <c r="D466" s="4" t="s">
        <v>96</v>
      </c>
      <c r="E466" s="4" t="s">
        <v>505</v>
      </c>
      <c r="F466" s="10" t="s">
        <v>79</v>
      </c>
    </row>
    <row r="467" customFormat="false" ht="15" hidden="false" customHeight="false" outlineLevel="0" collapsed="false">
      <c r="A467" s="5" t="s">
        <v>95</v>
      </c>
      <c r="B467" s="4" t="n">
        <v>2</v>
      </c>
      <c r="C467" s="4" t="s">
        <v>69</v>
      </c>
      <c r="D467" s="4" t="s">
        <v>270</v>
      </c>
      <c r="E467" s="4" t="s">
        <v>97</v>
      </c>
      <c r="F467" s="10" t="s">
        <v>79</v>
      </c>
    </row>
    <row r="468" customFormat="false" ht="15" hidden="false" customHeight="false" outlineLevel="0" collapsed="false">
      <c r="A468" s="5" t="s">
        <v>98</v>
      </c>
      <c r="B468" s="4" t="n">
        <v>1</v>
      </c>
      <c r="C468" s="4" t="s">
        <v>69</v>
      </c>
      <c r="D468" s="4"/>
      <c r="E468" s="4" t="s">
        <v>97</v>
      </c>
      <c r="F468" s="10" t="s">
        <v>79</v>
      </c>
    </row>
    <row r="469" customFormat="false" ht="15" hidden="false" customHeight="true" outlineLevel="0" collapsed="false">
      <c r="A469" s="3" t="s">
        <v>100</v>
      </c>
      <c r="B469" s="3" t="s">
        <v>101</v>
      </c>
      <c r="C469" s="3"/>
      <c r="D469" s="3"/>
      <c r="E469" s="3"/>
      <c r="F469" s="3"/>
    </row>
    <row r="470" customFormat="false" ht="30" hidden="false" customHeight="true" outlineLevel="0" collapsed="false">
      <c r="A470" s="4" t="n">
        <v>1</v>
      </c>
      <c r="B470" s="5" t="s">
        <v>527</v>
      </c>
      <c r="C470" s="5"/>
      <c r="D470" s="5"/>
      <c r="E470" s="5"/>
      <c r="F470" s="5"/>
    </row>
    <row r="471" customFormat="false" ht="18" hidden="false" customHeight="true" outlineLevel="0" collapsed="false">
      <c r="A471" s="4" t="n">
        <v>2</v>
      </c>
      <c r="B471" s="5" t="s">
        <v>528</v>
      </c>
      <c r="C471" s="5"/>
      <c r="D471" s="5"/>
      <c r="E471" s="5"/>
      <c r="F471" s="5"/>
    </row>
    <row r="472" customFormat="false" ht="30" hidden="false" customHeight="true" outlineLevel="0" collapsed="false">
      <c r="A472" s="4" t="n">
        <v>3</v>
      </c>
      <c r="B472" s="5" t="s">
        <v>529</v>
      </c>
      <c r="C472" s="5"/>
      <c r="D472" s="5"/>
      <c r="E472" s="5"/>
      <c r="F472" s="5"/>
    </row>
    <row r="473" customFormat="false" ht="30" hidden="false" customHeight="true" outlineLevel="0" collapsed="false">
      <c r="A473" s="4" t="n">
        <v>4</v>
      </c>
      <c r="B473" s="5" t="s">
        <v>530</v>
      </c>
      <c r="C473" s="5"/>
      <c r="D473" s="5"/>
      <c r="E473" s="5"/>
      <c r="F473" s="5"/>
    </row>
    <row r="474" customFormat="false" ht="30" hidden="false" customHeight="true" outlineLevel="0" collapsed="false">
      <c r="A474" s="4" t="n">
        <v>5</v>
      </c>
      <c r="B474" s="5" t="s">
        <v>531</v>
      </c>
      <c r="C474" s="5"/>
      <c r="D474" s="5"/>
      <c r="E474" s="5"/>
      <c r="F474" s="5"/>
    </row>
    <row r="475" customFormat="false" ht="30" hidden="false" customHeight="true" outlineLevel="0" collapsed="false">
      <c r="A475" s="4" t="n">
        <v>6</v>
      </c>
      <c r="B475" s="5" t="s">
        <v>532</v>
      </c>
      <c r="C475" s="5"/>
      <c r="D475" s="5"/>
      <c r="E475" s="5"/>
      <c r="F475" s="5"/>
    </row>
    <row r="477" customFormat="false" ht="16.15" hidden="false" customHeight="false" outlineLevel="0" collapsed="false">
      <c r="A477" s="1" t="s">
        <v>533</v>
      </c>
    </row>
    <row r="478" customFormat="false" ht="26.85" hidden="false" customHeight="true" outlineLevel="0" collapsed="false">
      <c r="A478" s="9" t="s">
        <v>54</v>
      </c>
      <c r="B478" s="5" t="s">
        <v>534</v>
      </c>
      <c r="C478" s="5"/>
      <c r="D478" s="5"/>
      <c r="E478" s="5"/>
      <c r="F478" s="5"/>
    </row>
    <row r="479" customFormat="false" ht="15" hidden="false" customHeight="true" outlineLevel="0" collapsed="false">
      <c r="A479" s="9" t="s">
        <v>56</v>
      </c>
      <c r="B479" s="5" t="s">
        <v>535</v>
      </c>
      <c r="C479" s="5"/>
      <c r="D479" s="5"/>
      <c r="E479" s="5"/>
      <c r="F479" s="5"/>
    </row>
    <row r="480" customFormat="false" ht="15" hidden="false" customHeight="true" outlineLevel="0" collapsed="false">
      <c r="A480" s="9" t="s">
        <v>58</v>
      </c>
      <c r="B480" s="5" t="s">
        <v>536</v>
      </c>
      <c r="C480" s="5"/>
      <c r="D480" s="5"/>
      <c r="E480" s="5"/>
      <c r="F480" s="5"/>
    </row>
    <row r="481" customFormat="false" ht="15" hidden="false" customHeight="true" outlineLevel="0" collapsed="false">
      <c r="A481" s="9" t="s">
        <v>60</v>
      </c>
      <c r="B481" s="5" t="s">
        <v>61</v>
      </c>
      <c r="C481" s="5"/>
      <c r="D481" s="5"/>
      <c r="E481" s="5"/>
      <c r="F481" s="5"/>
    </row>
    <row r="482" customFormat="false" ht="15" hidden="false" customHeight="false" outlineLevel="0" collapsed="false">
      <c r="A482" s="3" t="s">
        <v>62</v>
      </c>
      <c r="B482" s="3" t="s">
        <v>63</v>
      </c>
      <c r="C482" s="3" t="s">
        <v>64</v>
      </c>
      <c r="D482" s="3" t="s">
        <v>65</v>
      </c>
      <c r="E482" s="3" t="s">
        <v>66</v>
      </c>
      <c r="F482" s="3" t="s">
        <v>67</v>
      </c>
    </row>
    <row r="483" customFormat="false" ht="15" hidden="false" customHeight="false" outlineLevel="0" collapsed="false">
      <c r="A483" s="5" t="s">
        <v>537</v>
      </c>
      <c r="B483" s="4" t="n">
        <v>250</v>
      </c>
      <c r="C483" s="4" t="s">
        <v>69</v>
      </c>
      <c r="D483" s="4" t="s">
        <v>147</v>
      </c>
      <c r="E483" s="4" t="s">
        <v>191</v>
      </c>
      <c r="F483" s="4" t="s">
        <v>72</v>
      </c>
    </row>
    <row r="484" customFormat="false" ht="15" hidden="false" customHeight="false" outlineLevel="0" collapsed="false">
      <c r="A484" s="5" t="s">
        <v>174</v>
      </c>
      <c r="B484" s="4" t="n">
        <v>600</v>
      </c>
      <c r="C484" s="4" t="s">
        <v>74</v>
      </c>
      <c r="D484" s="4" t="s">
        <v>538</v>
      </c>
      <c r="E484" s="4" t="s">
        <v>174</v>
      </c>
      <c r="F484" s="4" t="s">
        <v>72</v>
      </c>
    </row>
    <row r="485" customFormat="false" ht="15" hidden="false" customHeight="false" outlineLevel="0" collapsed="false">
      <c r="A485" s="5" t="s">
        <v>361</v>
      </c>
      <c r="B485" s="4" t="n">
        <v>150</v>
      </c>
      <c r="C485" s="4" t="s">
        <v>69</v>
      </c>
      <c r="D485" s="4" t="s">
        <v>539</v>
      </c>
      <c r="E485" s="4" t="s">
        <v>361</v>
      </c>
      <c r="F485" s="4" t="s">
        <v>72</v>
      </c>
    </row>
    <row r="486" customFormat="false" ht="15" hidden="false" customHeight="false" outlineLevel="0" collapsed="false">
      <c r="A486" s="5" t="s">
        <v>117</v>
      </c>
      <c r="B486" s="4" t="n">
        <v>100</v>
      </c>
      <c r="C486" s="4" t="s">
        <v>69</v>
      </c>
      <c r="D486" s="4" t="s">
        <v>197</v>
      </c>
      <c r="E486" s="4" t="s">
        <v>119</v>
      </c>
      <c r="F486" s="4" t="s">
        <v>72</v>
      </c>
    </row>
    <row r="487" customFormat="false" ht="15" hidden="false" customHeight="false" outlineLevel="0" collapsed="false">
      <c r="A487" s="5" t="s">
        <v>212</v>
      </c>
      <c r="B487" s="4" t="n">
        <v>6</v>
      </c>
      <c r="C487" s="4" t="s">
        <v>69</v>
      </c>
      <c r="D487" s="4" t="s">
        <v>540</v>
      </c>
      <c r="E487" s="4" t="s">
        <v>214</v>
      </c>
      <c r="F487" s="4" t="s">
        <v>72</v>
      </c>
    </row>
    <row r="488" customFormat="false" ht="15" hidden="false" customHeight="false" outlineLevel="0" collapsed="false">
      <c r="A488" s="5" t="s">
        <v>168</v>
      </c>
      <c r="B488" s="4" t="n">
        <v>16</v>
      </c>
      <c r="C488" s="4" t="s">
        <v>74</v>
      </c>
      <c r="D488" s="4" t="s">
        <v>249</v>
      </c>
      <c r="E488" s="4" t="s">
        <v>90</v>
      </c>
      <c r="F488" s="4" t="s">
        <v>72</v>
      </c>
    </row>
    <row r="489" customFormat="false" ht="15" hidden="false" customHeight="false" outlineLevel="0" collapsed="false">
      <c r="A489" s="5" t="s">
        <v>541</v>
      </c>
      <c r="B489" s="4" t="n">
        <v>150</v>
      </c>
      <c r="C489" s="4" t="s">
        <v>69</v>
      </c>
      <c r="D489" s="4" t="s">
        <v>542</v>
      </c>
      <c r="E489" s="4" t="s">
        <v>240</v>
      </c>
      <c r="F489" s="4" t="s">
        <v>72</v>
      </c>
    </row>
    <row r="490" customFormat="false" ht="15" hidden="false" customHeight="false" outlineLevel="0" collapsed="false">
      <c r="A490" s="5" t="s">
        <v>366</v>
      </c>
      <c r="B490" s="4" t="n">
        <v>6</v>
      </c>
      <c r="C490" s="4" t="s">
        <v>69</v>
      </c>
      <c r="D490" s="4" t="s">
        <v>543</v>
      </c>
      <c r="E490" s="4" t="s">
        <v>335</v>
      </c>
      <c r="F490" s="4" t="s">
        <v>72</v>
      </c>
    </row>
    <row r="491" customFormat="false" ht="15" hidden="false" customHeight="false" outlineLevel="0" collapsed="false">
      <c r="A491" s="5" t="s">
        <v>544</v>
      </c>
      <c r="B491" s="4" t="n">
        <v>20</v>
      </c>
      <c r="C491" s="4" t="s">
        <v>69</v>
      </c>
      <c r="D491" s="4" t="s">
        <v>89</v>
      </c>
      <c r="E491" s="4" t="s">
        <v>269</v>
      </c>
      <c r="F491" s="4" t="s">
        <v>72</v>
      </c>
    </row>
    <row r="492" customFormat="false" ht="15" hidden="false" customHeight="false" outlineLevel="0" collapsed="false">
      <c r="A492" s="5" t="s">
        <v>95</v>
      </c>
      <c r="B492" s="4" t="n">
        <v>2</v>
      </c>
      <c r="C492" s="4" t="s">
        <v>69</v>
      </c>
      <c r="D492" s="4"/>
      <c r="E492" s="4" t="s">
        <v>97</v>
      </c>
      <c r="F492" s="10" t="s">
        <v>79</v>
      </c>
    </row>
    <row r="493" customFormat="false" ht="15" hidden="false" customHeight="false" outlineLevel="0" collapsed="false">
      <c r="A493" s="5" t="s">
        <v>98</v>
      </c>
      <c r="B493" s="4" t="n">
        <v>1</v>
      </c>
      <c r="C493" s="4" t="s">
        <v>69</v>
      </c>
      <c r="D493" s="4"/>
      <c r="E493" s="4" t="s">
        <v>97</v>
      </c>
      <c r="F493" s="10" t="s">
        <v>79</v>
      </c>
    </row>
    <row r="494" customFormat="false" ht="15" hidden="false" customHeight="true" outlineLevel="0" collapsed="false">
      <c r="A494" s="3" t="s">
        <v>100</v>
      </c>
      <c r="B494" s="3" t="s">
        <v>101</v>
      </c>
      <c r="C494" s="3"/>
      <c r="D494" s="3"/>
      <c r="E494" s="3"/>
      <c r="F494" s="3"/>
    </row>
    <row r="495" customFormat="false" ht="18" hidden="false" customHeight="true" outlineLevel="0" collapsed="false">
      <c r="A495" s="4" t="n">
        <v>1</v>
      </c>
      <c r="B495" s="5" t="s">
        <v>545</v>
      </c>
      <c r="C495" s="5"/>
      <c r="D495" s="5"/>
      <c r="E495" s="5"/>
      <c r="F495" s="5"/>
    </row>
    <row r="496" customFormat="false" ht="30" hidden="false" customHeight="true" outlineLevel="0" collapsed="false">
      <c r="A496" s="4" t="n">
        <v>2</v>
      </c>
      <c r="B496" s="5" t="s">
        <v>546</v>
      </c>
      <c r="C496" s="5"/>
      <c r="D496" s="5"/>
      <c r="E496" s="5"/>
      <c r="F496" s="5"/>
    </row>
    <row r="497" customFormat="false" ht="30" hidden="false" customHeight="true" outlineLevel="0" collapsed="false">
      <c r="A497" s="4" t="n">
        <v>3</v>
      </c>
      <c r="B497" s="5" t="s">
        <v>547</v>
      </c>
      <c r="C497" s="5"/>
      <c r="D497" s="5"/>
      <c r="E497" s="5"/>
      <c r="F497" s="5"/>
    </row>
    <row r="498" customFormat="false" ht="45" hidden="false" customHeight="true" outlineLevel="0" collapsed="false">
      <c r="A498" s="4" t="n">
        <v>4</v>
      </c>
      <c r="B498" s="5" t="s">
        <v>548</v>
      </c>
      <c r="C498" s="5"/>
      <c r="D498" s="5"/>
      <c r="E498" s="5"/>
      <c r="F498" s="5"/>
    </row>
    <row r="499" customFormat="false" ht="30" hidden="false" customHeight="true" outlineLevel="0" collapsed="false">
      <c r="A499" s="4" t="n">
        <v>5</v>
      </c>
      <c r="B499" s="5" t="s">
        <v>549</v>
      </c>
      <c r="C499" s="5"/>
      <c r="D499" s="5"/>
      <c r="E499" s="5"/>
      <c r="F499" s="5"/>
    </row>
    <row r="501" customFormat="false" ht="16.15" hidden="false" customHeight="false" outlineLevel="0" collapsed="false">
      <c r="A501" s="1" t="s">
        <v>550</v>
      </c>
    </row>
    <row r="502" customFormat="false" ht="26.85" hidden="false" customHeight="true" outlineLevel="0" collapsed="false">
      <c r="A502" s="9" t="s">
        <v>54</v>
      </c>
      <c r="B502" s="5" t="s">
        <v>551</v>
      </c>
      <c r="C502" s="5"/>
      <c r="D502" s="5"/>
      <c r="E502" s="5"/>
      <c r="F502" s="5"/>
    </row>
    <row r="503" customFormat="false" ht="15" hidden="false" customHeight="true" outlineLevel="0" collapsed="false">
      <c r="A503" s="9" t="s">
        <v>56</v>
      </c>
      <c r="B503" s="5" t="s">
        <v>138</v>
      </c>
      <c r="C503" s="5"/>
      <c r="D503" s="5"/>
      <c r="E503" s="5"/>
      <c r="F503" s="5"/>
    </row>
    <row r="504" customFormat="false" ht="15" hidden="false" customHeight="true" outlineLevel="0" collapsed="false">
      <c r="A504" s="9" t="s">
        <v>58</v>
      </c>
      <c r="B504" s="5" t="s">
        <v>279</v>
      </c>
      <c r="C504" s="5"/>
      <c r="D504" s="5"/>
      <c r="E504" s="5"/>
      <c r="F504" s="5"/>
    </row>
    <row r="505" customFormat="false" ht="15" hidden="false" customHeight="true" outlineLevel="0" collapsed="false">
      <c r="A505" s="9" t="s">
        <v>60</v>
      </c>
      <c r="B505" s="5" t="s">
        <v>552</v>
      </c>
      <c r="C505" s="5"/>
      <c r="D505" s="5"/>
      <c r="E505" s="5"/>
      <c r="F505" s="5"/>
    </row>
    <row r="506" customFormat="false" ht="15" hidden="false" customHeight="false" outlineLevel="0" collapsed="false">
      <c r="A506" s="3" t="s">
        <v>62</v>
      </c>
      <c r="B506" s="3" t="s">
        <v>63</v>
      </c>
      <c r="C506" s="3" t="s">
        <v>64</v>
      </c>
      <c r="D506" s="3" t="s">
        <v>65</v>
      </c>
      <c r="E506" s="3" t="s">
        <v>66</v>
      </c>
      <c r="F506" s="3" t="s">
        <v>67</v>
      </c>
    </row>
    <row r="507" customFormat="false" ht="15" hidden="false" customHeight="false" outlineLevel="0" collapsed="false">
      <c r="A507" s="5" t="s">
        <v>553</v>
      </c>
      <c r="B507" s="4" t="n">
        <v>250</v>
      </c>
      <c r="C507" s="4" t="s">
        <v>69</v>
      </c>
      <c r="D507" s="4" t="s">
        <v>401</v>
      </c>
      <c r="E507" s="4" t="s">
        <v>554</v>
      </c>
      <c r="F507" s="4" t="s">
        <v>72</v>
      </c>
    </row>
    <row r="508" customFormat="false" ht="15" hidden="false" customHeight="false" outlineLevel="0" collapsed="false">
      <c r="A508" s="5" t="s">
        <v>117</v>
      </c>
      <c r="B508" s="4" t="n">
        <v>100</v>
      </c>
      <c r="C508" s="4" t="s">
        <v>69</v>
      </c>
      <c r="D508" s="4" t="s">
        <v>197</v>
      </c>
      <c r="E508" s="4" t="s">
        <v>119</v>
      </c>
      <c r="F508" s="4" t="s">
        <v>72</v>
      </c>
    </row>
    <row r="509" customFormat="false" ht="15" hidden="false" customHeight="false" outlineLevel="0" collapsed="false">
      <c r="A509" s="5" t="s">
        <v>212</v>
      </c>
      <c r="B509" s="4" t="n">
        <v>6</v>
      </c>
      <c r="C509" s="4" t="s">
        <v>69</v>
      </c>
      <c r="D509" s="4" t="s">
        <v>540</v>
      </c>
      <c r="E509" s="4" t="s">
        <v>214</v>
      </c>
      <c r="F509" s="4" t="s">
        <v>72</v>
      </c>
    </row>
    <row r="510" customFormat="false" ht="15" hidden="false" customHeight="false" outlineLevel="0" collapsed="false">
      <c r="A510" s="5" t="s">
        <v>555</v>
      </c>
      <c r="B510" s="4" t="n">
        <v>100</v>
      </c>
      <c r="C510" s="4" t="s">
        <v>69</v>
      </c>
      <c r="D510" s="4" t="s">
        <v>147</v>
      </c>
      <c r="E510" s="4" t="s">
        <v>556</v>
      </c>
      <c r="F510" s="4" t="s">
        <v>72</v>
      </c>
    </row>
    <row r="511" customFormat="false" ht="15" hidden="false" customHeight="false" outlineLevel="0" collapsed="false">
      <c r="A511" s="5" t="s">
        <v>148</v>
      </c>
      <c r="B511" s="4" t="n">
        <v>140</v>
      </c>
      <c r="C511" s="4" t="s">
        <v>69</v>
      </c>
      <c r="D511" s="4" t="s">
        <v>557</v>
      </c>
      <c r="E511" s="4" t="s">
        <v>148</v>
      </c>
      <c r="F511" s="4" t="s">
        <v>72</v>
      </c>
    </row>
    <row r="512" customFormat="false" ht="15" hidden="false" customHeight="false" outlineLevel="0" collapsed="false">
      <c r="A512" s="5" t="s">
        <v>287</v>
      </c>
      <c r="B512" s="4" t="n">
        <v>10</v>
      </c>
      <c r="C512" s="4" t="s">
        <v>69</v>
      </c>
      <c r="D512" s="4" t="s">
        <v>407</v>
      </c>
      <c r="E512" s="4" t="s">
        <v>221</v>
      </c>
      <c r="F512" s="4" t="s">
        <v>72</v>
      </c>
    </row>
    <row r="513" customFormat="false" ht="15" hidden="false" customHeight="false" outlineLevel="0" collapsed="false">
      <c r="A513" s="5" t="s">
        <v>174</v>
      </c>
      <c r="B513" s="4" t="n">
        <v>700</v>
      </c>
      <c r="C513" s="4" t="s">
        <v>74</v>
      </c>
      <c r="D513" s="4" t="s">
        <v>558</v>
      </c>
      <c r="E513" s="4" t="s">
        <v>174</v>
      </c>
      <c r="F513" s="4" t="s">
        <v>72</v>
      </c>
    </row>
    <row r="514" customFormat="false" ht="15" hidden="false" customHeight="false" outlineLevel="0" collapsed="false">
      <c r="A514" s="5" t="s">
        <v>267</v>
      </c>
      <c r="B514" s="4" t="n">
        <v>30</v>
      </c>
      <c r="C514" s="4" t="s">
        <v>69</v>
      </c>
      <c r="D514" s="4" t="s">
        <v>345</v>
      </c>
      <c r="E514" s="4" t="s">
        <v>269</v>
      </c>
      <c r="F514" s="4" t="s">
        <v>72</v>
      </c>
    </row>
    <row r="515" customFormat="false" ht="15" hidden="false" customHeight="false" outlineLevel="0" collapsed="false">
      <c r="A515" s="5" t="s">
        <v>559</v>
      </c>
      <c r="B515" s="4" t="n">
        <v>50</v>
      </c>
      <c r="C515" s="4" t="s">
        <v>69</v>
      </c>
      <c r="D515" s="4" t="s">
        <v>345</v>
      </c>
      <c r="E515" s="4" t="s">
        <v>145</v>
      </c>
      <c r="F515" s="4" t="s">
        <v>72</v>
      </c>
    </row>
    <row r="516" customFormat="false" ht="15" hidden="false" customHeight="false" outlineLevel="0" collapsed="false">
      <c r="A516" s="5" t="s">
        <v>88</v>
      </c>
      <c r="B516" s="4" t="n">
        <v>10</v>
      </c>
      <c r="C516" s="4" t="s">
        <v>74</v>
      </c>
      <c r="D516" s="4" t="s">
        <v>81</v>
      </c>
      <c r="E516" s="4" t="s">
        <v>90</v>
      </c>
      <c r="F516" s="4" t="s">
        <v>72</v>
      </c>
    </row>
    <row r="517" customFormat="false" ht="15" hidden="false" customHeight="false" outlineLevel="0" collapsed="false">
      <c r="A517" s="5" t="s">
        <v>98</v>
      </c>
      <c r="B517" s="4" t="n">
        <v>1</v>
      </c>
      <c r="C517" s="4" t="s">
        <v>69</v>
      </c>
      <c r="D517" s="4"/>
      <c r="E517" s="4" t="s">
        <v>97</v>
      </c>
      <c r="F517" s="10" t="s">
        <v>79</v>
      </c>
    </row>
    <row r="518" customFormat="false" ht="15" hidden="false" customHeight="false" outlineLevel="0" collapsed="false">
      <c r="A518" s="5" t="s">
        <v>95</v>
      </c>
      <c r="B518" s="4" t="n">
        <v>0</v>
      </c>
      <c r="C518" s="4" t="s">
        <v>69</v>
      </c>
      <c r="D518" s="4" t="s">
        <v>560</v>
      </c>
      <c r="E518" s="4" t="s">
        <v>97</v>
      </c>
      <c r="F518" s="10" t="s">
        <v>79</v>
      </c>
    </row>
    <row r="519" customFormat="false" ht="15" hidden="false" customHeight="true" outlineLevel="0" collapsed="false">
      <c r="A519" s="3" t="s">
        <v>100</v>
      </c>
      <c r="B519" s="3" t="s">
        <v>101</v>
      </c>
      <c r="C519" s="3"/>
      <c r="D519" s="3"/>
      <c r="E519" s="3"/>
      <c r="F519" s="3"/>
    </row>
    <row r="520" customFormat="false" ht="18" hidden="false" customHeight="true" outlineLevel="0" collapsed="false">
      <c r="A520" s="4" t="n">
        <v>1</v>
      </c>
      <c r="B520" s="5" t="s">
        <v>561</v>
      </c>
      <c r="C520" s="5"/>
      <c r="D520" s="5"/>
      <c r="E520" s="5"/>
      <c r="F520" s="5"/>
    </row>
    <row r="521" customFormat="false" ht="18" hidden="false" customHeight="true" outlineLevel="0" collapsed="false">
      <c r="A521" s="4" t="n">
        <v>2</v>
      </c>
      <c r="B521" s="5" t="s">
        <v>562</v>
      </c>
      <c r="C521" s="5"/>
      <c r="D521" s="5"/>
      <c r="E521" s="5"/>
      <c r="F521" s="5"/>
    </row>
    <row r="522" customFormat="false" ht="30" hidden="false" customHeight="true" outlineLevel="0" collapsed="false">
      <c r="A522" s="4" t="n">
        <v>3</v>
      </c>
      <c r="B522" s="5" t="s">
        <v>563</v>
      </c>
      <c r="C522" s="5"/>
      <c r="D522" s="5"/>
      <c r="E522" s="5"/>
      <c r="F522" s="5"/>
    </row>
    <row r="523" customFormat="false" ht="45" hidden="false" customHeight="true" outlineLevel="0" collapsed="false">
      <c r="A523" s="4" t="n">
        <v>4</v>
      </c>
      <c r="B523" s="5" t="s">
        <v>564</v>
      </c>
      <c r="C523" s="5"/>
      <c r="D523" s="5"/>
      <c r="E523" s="5"/>
      <c r="F523" s="5"/>
    </row>
    <row r="524" customFormat="false" ht="30" hidden="false" customHeight="true" outlineLevel="0" collapsed="false">
      <c r="A524" s="4" t="n">
        <v>5</v>
      </c>
      <c r="B524" s="5" t="s">
        <v>565</v>
      </c>
      <c r="C524" s="5"/>
      <c r="D524" s="5"/>
      <c r="E524" s="5"/>
      <c r="F524" s="5"/>
    </row>
    <row r="525" customFormat="false" ht="18" hidden="false" customHeight="true" outlineLevel="0" collapsed="false">
      <c r="A525" s="4" t="n">
        <v>6</v>
      </c>
      <c r="B525" s="5" t="s">
        <v>566</v>
      </c>
      <c r="C525" s="5"/>
      <c r="D525" s="5"/>
      <c r="E525" s="5"/>
      <c r="F525" s="5"/>
    </row>
    <row r="526" customFormat="false" ht="18" hidden="false" customHeight="true" outlineLevel="0" collapsed="false">
      <c r="A526" s="4" t="n">
        <v>7</v>
      </c>
      <c r="B526" s="5" t="s">
        <v>567</v>
      </c>
      <c r="C526" s="5"/>
      <c r="D526" s="5"/>
      <c r="E526" s="5"/>
      <c r="F526" s="5"/>
    </row>
    <row r="528" customFormat="false" ht="16.15" hidden="false" customHeight="false" outlineLevel="0" collapsed="false">
      <c r="A528" s="1" t="s">
        <v>568</v>
      </c>
    </row>
    <row r="529" customFormat="false" ht="26.85" hidden="false" customHeight="true" outlineLevel="0" collapsed="false">
      <c r="A529" s="9" t="s">
        <v>54</v>
      </c>
      <c r="B529" s="5" t="s">
        <v>569</v>
      </c>
      <c r="C529" s="5"/>
      <c r="D529" s="5"/>
      <c r="E529" s="5"/>
      <c r="F529" s="5"/>
    </row>
    <row r="530" customFormat="false" ht="15" hidden="false" customHeight="true" outlineLevel="0" collapsed="false">
      <c r="A530" s="9" t="s">
        <v>56</v>
      </c>
      <c r="B530" s="5" t="s">
        <v>235</v>
      </c>
      <c r="C530" s="5"/>
      <c r="D530" s="5"/>
      <c r="E530" s="5"/>
      <c r="F530" s="5"/>
    </row>
    <row r="531" customFormat="false" ht="15" hidden="false" customHeight="true" outlineLevel="0" collapsed="false">
      <c r="A531" s="9" t="s">
        <v>58</v>
      </c>
      <c r="B531" s="5" t="s">
        <v>570</v>
      </c>
      <c r="C531" s="5"/>
      <c r="D531" s="5"/>
      <c r="E531" s="5"/>
      <c r="F531" s="5"/>
    </row>
    <row r="532" customFormat="false" ht="15" hidden="false" customHeight="true" outlineLevel="0" collapsed="false">
      <c r="A532" s="9" t="s">
        <v>60</v>
      </c>
      <c r="B532" s="5" t="s">
        <v>571</v>
      </c>
      <c r="C532" s="5"/>
      <c r="D532" s="5"/>
      <c r="E532" s="5"/>
      <c r="F532" s="5"/>
    </row>
    <row r="533" customFormat="false" ht="15" hidden="false" customHeight="false" outlineLevel="0" collapsed="false">
      <c r="A533" s="3" t="s">
        <v>62</v>
      </c>
      <c r="B533" s="3" t="s">
        <v>63</v>
      </c>
      <c r="C533" s="3" t="s">
        <v>64</v>
      </c>
      <c r="D533" s="3" t="s">
        <v>65</v>
      </c>
      <c r="E533" s="3" t="s">
        <v>66</v>
      </c>
      <c r="F533" s="3" t="s">
        <v>67</v>
      </c>
    </row>
    <row r="534" customFormat="false" ht="15" hidden="false" customHeight="false" outlineLevel="0" collapsed="false">
      <c r="A534" s="5" t="s">
        <v>196</v>
      </c>
      <c r="B534" s="4" t="n">
        <v>220</v>
      </c>
      <c r="C534" s="4" t="s">
        <v>69</v>
      </c>
      <c r="D534" s="4" t="s">
        <v>572</v>
      </c>
      <c r="E534" s="4" t="s">
        <v>196</v>
      </c>
      <c r="F534" s="4" t="s">
        <v>72</v>
      </c>
    </row>
    <row r="535" customFormat="false" ht="15" hidden="false" customHeight="false" outlineLevel="0" collapsed="false">
      <c r="A535" s="5" t="s">
        <v>573</v>
      </c>
      <c r="B535" s="4" t="n">
        <v>350</v>
      </c>
      <c r="C535" s="4" t="s">
        <v>69</v>
      </c>
      <c r="D535" s="4" t="s">
        <v>574</v>
      </c>
      <c r="E535" s="4" t="s">
        <v>573</v>
      </c>
      <c r="F535" s="4" t="s">
        <v>72</v>
      </c>
    </row>
    <row r="536" customFormat="false" ht="15" hidden="false" customHeight="false" outlineLevel="0" collapsed="false">
      <c r="A536" s="5" t="s">
        <v>361</v>
      </c>
      <c r="B536" s="4" t="n">
        <v>250</v>
      </c>
      <c r="C536" s="4" t="s">
        <v>69</v>
      </c>
      <c r="D536" s="4" t="s">
        <v>575</v>
      </c>
      <c r="E536" s="4" t="s">
        <v>361</v>
      </c>
      <c r="F536" s="4" t="s">
        <v>72</v>
      </c>
    </row>
    <row r="537" customFormat="false" ht="15" hidden="false" customHeight="false" outlineLevel="0" collapsed="false">
      <c r="A537" s="5" t="s">
        <v>576</v>
      </c>
      <c r="B537" s="4" t="n">
        <v>124</v>
      </c>
      <c r="C537" s="4" t="s">
        <v>69</v>
      </c>
      <c r="D537" s="4" t="s">
        <v>577</v>
      </c>
      <c r="E537" s="4" t="s">
        <v>578</v>
      </c>
      <c r="F537" s="4" t="s">
        <v>72</v>
      </c>
    </row>
    <row r="538" customFormat="false" ht="15" hidden="false" customHeight="false" outlineLevel="0" collapsed="false">
      <c r="A538" s="5" t="s">
        <v>212</v>
      </c>
      <c r="B538" s="4" t="n">
        <v>6</v>
      </c>
      <c r="C538" s="4" t="s">
        <v>69</v>
      </c>
      <c r="D538" s="4" t="s">
        <v>540</v>
      </c>
      <c r="E538" s="4" t="s">
        <v>214</v>
      </c>
      <c r="F538" s="4" t="s">
        <v>72</v>
      </c>
    </row>
    <row r="539" customFormat="false" ht="15" hidden="false" customHeight="false" outlineLevel="0" collapsed="false">
      <c r="A539" s="5" t="s">
        <v>579</v>
      </c>
      <c r="B539" s="4" t="n">
        <v>50</v>
      </c>
      <c r="C539" s="4" t="s">
        <v>69</v>
      </c>
      <c r="D539" s="4" t="s">
        <v>580</v>
      </c>
      <c r="E539" s="4" t="s">
        <v>581</v>
      </c>
      <c r="F539" s="4" t="s">
        <v>72</v>
      </c>
    </row>
    <row r="540" customFormat="false" ht="15" hidden="false" customHeight="false" outlineLevel="0" collapsed="false">
      <c r="A540" s="5" t="s">
        <v>504</v>
      </c>
      <c r="B540" s="4" t="n">
        <v>1</v>
      </c>
      <c r="C540" s="4" t="s">
        <v>69</v>
      </c>
      <c r="D540" s="4" t="s">
        <v>96</v>
      </c>
      <c r="E540" s="4" t="s">
        <v>505</v>
      </c>
      <c r="F540" s="4" t="s">
        <v>72</v>
      </c>
    </row>
    <row r="541" customFormat="false" ht="15" hidden="false" customHeight="false" outlineLevel="0" collapsed="false">
      <c r="A541" s="5" t="s">
        <v>168</v>
      </c>
      <c r="B541" s="4" t="n">
        <v>30</v>
      </c>
      <c r="C541" s="4" t="s">
        <v>74</v>
      </c>
      <c r="D541" s="4" t="s">
        <v>89</v>
      </c>
      <c r="E541" s="4" t="s">
        <v>90</v>
      </c>
      <c r="F541" s="4" t="s">
        <v>72</v>
      </c>
    </row>
    <row r="542" customFormat="false" ht="15" hidden="false" customHeight="false" outlineLevel="0" collapsed="false">
      <c r="A542" s="5" t="s">
        <v>582</v>
      </c>
      <c r="B542" s="4" t="n">
        <v>160</v>
      </c>
      <c r="C542" s="4" t="s">
        <v>69</v>
      </c>
      <c r="D542" s="4" t="s">
        <v>583</v>
      </c>
      <c r="E542" s="4" t="s">
        <v>142</v>
      </c>
      <c r="F542" s="11" t="s">
        <v>94</v>
      </c>
    </row>
    <row r="543" customFormat="false" ht="15" hidden="false" customHeight="false" outlineLevel="0" collapsed="false">
      <c r="A543" s="5" t="s">
        <v>95</v>
      </c>
      <c r="B543" s="4" t="n">
        <v>1</v>
      </c>
      <c r="C543" s="4" t="s">
        <v>69</v>
      </c>
      <c r="D543" s="4"/>
      <c r="E543" s="4" t="s">
        <v>97</v>
      </c>
      <c r="F543" s="10" t="s">
        <v>79</v>
      </c>
    </row>
    <row r="544" customFormat="false" ht="15" hidden="false" customHeight="false" outlineLevel="0" collapsed="false">
      <c r="A544" s="5" t="s">
        <v>98</v>
      </c>
      <c r="B544" s="4" t="n">
        <v>1</v>
      </c>
      <c r="C544" s="4" t="s">
        <v>69</v>
      </c>
      <c r="D544" s="4"/>
      <c r="E544" s="4" t="s">
        <v>97</v>
      </c>
      <c r="F544" s="10" t="s">
        <v>79</v>
      </c>
    </row>
    <row r="545" customFormat="false" ht="15" hidden="false" customHeight="true" outlineLevel="0" collapsed="false">
      <c r="A545" s="3" t="s">
        <v>100</v>
      </c>
      <c r="B545" s="3" t="s">
        <v>101</v>
      </c>
      <c r="C545" s="3"/>
      <c r="D545" s="3"/>
      <c r="E545" s="3"/>
      <c r="F545" s="3"/>
    </row>
    <row r="546" customFormat="false" ht="30" hidden="false" customHeight="true" outlineLevel="0" collapsed="false">
      <c r="A546" s="4" t="n">
        <v>1</v>
      </c>
      <c r="B546" s="5" t="s">
        <v>584</v>
      </c>
      <c r="C546" s="5"/>
      <c r="D546" s="5"/>
      <c r="E546" s="5"/>
      <c r="F546" s="5"/>
    </row>
    <row r="547" customFormat="false" ht="30" hidden="false" customHeight="true" outlineLevel="0" collapsed="false">
      <c r="A547" s="4" t="n">
        <v>2</v>
      </c>
      <c r="B547" s="5" t="s">
        <v>585</v>
      </c>
      <c r="C547" s="5"/>
      <c r="D547" s="5"/>
      <c r="E547" s="5"/>
      <c r="F547" s="5"/>
    </row>
    <row r="548" customFormat="false" ht="18" hidden="false" customHeight="true" outlineLevel="0" collapsed="false">
      <c r="A548" s="4" t="n">
        <v>3</v>
      </c>
      <c r="B548" s="5" t="s">
        <v>586</v>
      </c>
      <c r="C548" s="5"/>
      <c r="D548" s="5"/>
      <c r="E548" s="5"/>
      <c r="F548" s="5"/>
    </row>
    <row r="549" customFormat="false" ht="18" hidden="false" customHeight="true" outlineLevel="0" collapsed="false">
      <c r="A549" s="4" t="n">
        <v>4</v>
      </c>
      <c r="B549" s="5" t="s">
        <v>587</v>
      </c>
      <c r="C549" s="5"/>
      <c r="D549" s="5"/>
      <c r="E549" s="5"/>
      <c r="F549" s="5"/>
    </row>
    <row r="550" customFormat="false" ht="30" hidden="false" customHeight="true" outlineLevel="0" collapsed="false">
      <c r="A550" s="4" t="n">
        <v>5</v>
      </c>
      <c r="B550" s="5" t="s">
        <v>588</v>
      </c>
      <c r="C550" s="5"/>
      <c r="D550" s="5"/>
      <c r="E550" s="5"/>
      <c r="F550" s="5"/>
    </row>
    <row r="551" customFormat="false" ht="18" hidden="false" customHeight="true" outlineLevel="0" collapsed="false">
      <c r="A551" s="4" t="n">
        <v>6</v>
      </c>
      <c r="B551" s="5" t="s">
        <v>589</v>
      </c>
      <c r="C551" s="5"/>
      <c r="D551" s="5"/>
      <c r="E551" s="5"/>
      <c r="F551" s="5"/>
    </row>
    <row r="552" customFormat="false" ht="30" hidden="false" customHeight="true" outlineLevel="0" collapsed="false">
      <c r="A552" s="4" t="n">
        <v>7</v>
      </c>
      <c r="B552" s="5" t="s">
        <v>590</v>
      </c>
      <c r="C552" s="5"/>
      <c r="D552" s="5"/>
      <c r="E552" s="5"/>
      <c r="F552" s="5"/>
    </row>
    <row r="553" customFormat="false" ht="30" hidden="false" customHeight="true" outlineLevel="0" collapsed="false">
      <c r="A553" s="4" t="n">
        <v>8</v>
      </c>
      <c r="B553" s="5" t="s">
        <v>591</v>
      </c>
      <c r="C553" s="5"/>
      <c r="D553" s="5"/>
      <c r="E553" s="5"/>
      <c r="F553" s="5"/>
    </row>
    <row r="555" customFormat="false" ht="16.15" hidden="false" customHeight="false" outlineLevel="0" collapsed="false">
      <c r="A555" s="1" t="s">
        <v>592</v>
      </c>
    </row>
    <row r="556" customFormat="false" ht="26.85" hidden="false" customHeight="true" outlineLevel="0" collapsed="false">
      <c r="A556" s="9" t="s">
        <v>54</v>
      </c>
      <c r="B556" s="5" t="s">
        <v>593</v>
      </c>
      <c r="C556" s="5"/>
      <c r="D556" s="5"/>
      <c r="E556" s="5"/>
      <c r="F556" s="5"/>
    </row>
    <row r="557" customFormat="false" ht="15" hidden="false" customHeight="true" outlineLevel="0" collapsed="false">
      <c r="A557" s="9" t="s">
        <v>56</v>
      </c>
      <c r="B557" s="5" t="s">
        <v>594</v>
      </c>
      <c r="C557" s="5"/>
      <c r="D557" s="5"/>
      <c r="E557" s="5"/>
      <c r="F557" s="5"/>
    </row>
    <row r="558" customFormat="false" ht="15" hidden="false" customHeight="true" outlineLevel="0" collapsed="false">
      <c r="A558" s="9" t="s">
        <v>58</v>
      </c>
      <c r="B558" s="5" t="s">
        <v>595</v>
      </c>
      <c r="C558" s="5"/>
      <c r="D558" s="5"/>
      <c r="E558" s="5"/>
      <c r="F558" s="5"/>
    </row>
    <row r="559" customFormat="false" ht="26.85" hidden="false" customHeight="true" outlineLevel="0" collapsed="false">
      <c r="A559" s="9" t="s">
        <v>60</v>
      </c>
      <c r="B559" s="5" t="s">
        <v>596</v>
      </c>
      <c r="C559" s="5"/>
      <c r="D559" s="5"/>
      <c r="E559" s="5"/>
      <c r="F559" s="5"/>
    </row>
    <row r="560" customFormat="false" ht="15" hidden="false" customHeight="false" outlineLevel="0" collapsed="false">
      <c r="A560" s="3" t="s">
        <v>62</v>
      </c>
      <c r="B560" s="3" t="s">
        <v>63</v>
      </c>
      <c r="C560" s="3" t="s">
        <v>64</v>
      </c>
      <c r="D560" s="3" t="s">
        <v>65</v>
      </c>
      <c r="E560" s="3" t="s">
        <v>66</v>
      </c>
      <c r="F560" s="3" t="s">
        <v>67</v>
      </c>
    </row>
    <row r="561" customFormat="false" ht="15" hidden="false" customHeight="false" outlineLevel="0" collapsed="false">
      <c r="A561" s="5" t="s">
        <v>597</v>
      </c>
      <c r="B561" s="4" t="n">
        <v>250</v>
      </c>
      <c r="C561" s="4" t="s">
        <v>69</v>
      </c>
      <c r="D561" s="4" t="s">
        <v>147</v>
      </c>
      <c r="E561" s="4" t="s">
        <v>191</v>
      </c>
      <c r="F561" s="4" t="s">
        <v>72</v>
      </c>
    </row>
    <row r="562" customFormat="false" ht="15" hidden="false" customHeight="false" outlineLevel="0" collapsed="false">
      <c r="A562" s="5" t="s">
        <v>598</v>
      </c>
      <c r="B562" s="4" t="n">
        <v>100</v>
      </c>
      <c r="C562" s="4" t="s">
        <v>69</v>
      </c>
      <c r="D562" s="4" t="s">
        <v>599</v>
      </c>
      <c r="E562" s="4" t="s">
        <v>600</v>
      </c>
      <c r="F562" s="4" t="s">
        <v>72</v>
      </c>
    </row>
    <row r="563" customFormat="false" ht="15" hidden="false" customHeight="false" outlineLevel="0" collapsed="false">
      <c r="A563" s="5" t="s">
        <v>361</v>
      </c>
      <c r="B563" s="4" t="n">
        <v>250</v>
      </c>
      <c r="C563" s="4" t="s">
        <v>69</v>
      </c>
      <c r="D563" s="4" t="s">
        <v>575</v>
      </c>
      <c r="E563" s="4" t="s">
        <v>361</v>
      </c>
      <c r="F563" s="4" t="s">
        <v>72</v>
      </c>
    </row>
    <row r="564" customFormat="false" ht="15" hidden="false" customHeight="false" outlineLevel="0" collapsed="false">
      <c r="A564" s="5" t="s">
        <v>576</v>
      </c>
      <c r="B564" s="4" t="n">
        <v>250</v>
      </c>
      <c r="C564" s="4" t="s">
        <v>69</v>
      </c>
      <c r="D564" s="4" t="s">
        <v>601</v>
      </c>
      <c r="E564" s="4" t="s">
        <v>578</v>
      </c>
      <c r="F564" s="4" t="s">
        <v>72</v>
      </c>
    </row>
    <row r="565" customFormat="false" ht="15" hidden="false" customHeight="false" outlineLevel="0" collapsed="false">
      <c r="A565" s="5" t="s">
        <v>267</v>
      </c>
      <c r="B565" s="4" t="n">
        <v>30</v>
      </c>
      <c r="C565" s="4" t="s">
        <v>69</v>
      </c>
      <c r="D565" s="4" t="s">
        <v>345</v>
      </c>
      <c r="E565" s="4" t="s">
        <v>269</v>
      </c>
      <c r="F565" s="11" t="s">
        <v>94</v>
      </c>
    </row>
    <row r="566" customFormat="false" ht="15" hidden="false" customHeight="false" outlineLevel="0" collapsed="false">
      <c r="A566" s="5" t="s">
        <v>95</v>
      </c>
      <c r="B566" s="4" t="n">
        <v>2</v>
      </c>
      <c r="C566" s="4" t="s">
        <v>69</v>
      </c>
      <c r="D566" s="4" t="s">
        <v>270</v>
      </c>
      <c r="E566" s="4" t="s">
        <v>97</v>
      </c>
      <c r="F566" s="10" t="s">
        <v>79</v>
      </c>
    </row>
    <row r="567" customFormat="false" ht="15" hidden="false" customHeight="false" outlineLevel="0" collapsed="false">
      <c r="A567" s="5" t="s">
        <v>98</v>
      </c>
      <c r="B567" s="4" t="n">
        <v>1</v>
      </c>
      <c r="C567" s="4" t="s">
        <v>69</v>
      </c>
      <c r="D567" s="4"/>
      <c r="E567" s="4" t="s">
        <v>97</v>
      </c>
      <c r="F567" s="10" t="s">
        <v>79</v>
      </c>
    </row>
    <row r="568" customFormat="false" ht="15" hidden="false" customHeight="true" outlineLevel="0" collapsed="false">
      <c r="A568" s="3" t="s">
        <v>100</v>
      </c>
      <c r="B568" s="3" t="s">
        <v>101</v>
      </c>
      <c r="C568" s="3"/>
      <c r="D568" s="3"/>
      <c r="E568" s="3"/>
      <c r="F568" s="3"/>
    </row>
    <row r="569" customFormat="false" ht="18" hidden="false" customHeight="true" outlineLevel="0" collapsed="false">
      <c r="A569" s="4" t="n">
        <v>1</v>
      </c>
      <c r="B569" s="5" t="s">
        <v>602</v>
      </c>
      <c r="C569" s="5"/>
      <c r="D569" s="5"/>
      <c r="E569" s="5"/>
      <c r="F569" s="5"/>
    </row>
    <row r="570" customFormat="false" ht="45" hidden="false" customHeight="true" outlineLevel="0" collapsed="false">
      <c r="A570" s="4" t="n">
        <v>2</v>
      </c>
      <c r="B570" s="5" t="s">
        <v>603</v>
      </c>
      <c r="C570" s="5"/>
      <c r="D570" s="5"/>
      <c r="E570" s="5"/>
      <c r="F570" s="5"/>
    </row>
    <row r="571" customFormat="false" ht="30" hidden="false" customHeight="true" outlineLevel="0" collapsed="false">
      <c r="A571" s="4" t="n">
        <v>3</v>
      </c>
      <c r="B571" s="5" t="s">
        <v>604</v>
      </c>
      <c r="C571" s="5"/>
      <c r="D571" s="5"/>
      <c r="E571" s="5"/>
      <c r="F571" s="5"/>
    </row>
    <row r="572" customFormat="false" ht="30" hidden="false" customHeight="true" outlineLevel="0" collapsed="false">
      <c r="A572" s="4" t="n">
        <v>4</v>
      </c>
      <c r="B572" s="5" t="s">
        <v>605</v>
      </c>
      <c r="C572" s="5"/>
      <c r="D572" s="5"/>
      <c r="E572" s="5"/>
      <c r="F572" s="5"/>
    </row>
    <row r="573" customFormat="false" ht="30" hidden="false" customHeight="true" outlineLevel="0" collapsed="false">
      <c r="A573" s="4" t="n">
        <v>5</v>
      </c>
      <c r="B573" s="5" t="s">
        <v>606</v>
      </c>
      <c r="C573" s="5"/>
      <c r="D573" s="5"/>
      <c r="E573" s="5"/>
      <c r="F573" s="5"/>
    </row>
    <row r="574" customFormat="false" ht="18" hidden="false" customHeight="true" outlineLevel="0" collapsed="false">
      <c r="A574" s="4" t="n">
        <v>6</v>
      </c>
      <c r="B574" s="5" t="s">
        <v>607</v>
      </c>
      <c r="C574" s="5"/>
      <c r="D574" s="5"/>
      <c r="E574" s="5"/>
      <c r="F574" s="5"/>
    </row>
    <row r="575" customFormat="false" ht="30" hidden="false" customHeight="true" outlineLevel="0" collapsed="false">
      <c r="A575" s="4" t="n">
        <v>7</v>
      </c>
      <c r="B575" s="5" t="s">
        <v>608</v>
      </c>
      <c r="C575" s="5"/>
      <c r="D575" s="5"/>
      <c r="E575" s="5"/>
      <c r="F575" s="5"/>
    </row>
    <row r="577" customFormat="false" ht="16.15" hidden="false" customHeight="false" outlineLevel="0" collapsed="false">
      <c r="A577" s="1" t="s">
        <v>609</v>
      </c>
    </row>
    <row r="578" customFormat="false" ht="26.85" hidden="false" customHeight="true" outlineLevel="0" collapsed="false">
      <c r="A578" s="9" t="s">
        <v>54</v>
      </c>
      <c r="B578" s="5" t="s">
        <v>610</v>
      </c>
      <c r="C578" s="5"/>
      <c r="D578" s="5"/>
      <c r="E578" s="5"/>
      <c r="F578" s="5"/>
    </row>
    <row r="579" customFormat="false" ht="15" hidden="false" customHeight="true" outlineLevel="0" collapsed="false">
      <c r="A579" s="9" t="s">
        <v>56</v>
      </c>
      <c r="B579" s="5" t="s">
        <v>611</v>
      </c>
      <c r="C579" s="5"/>
      <c r="D579" s="5"/>
      <c r="E579" s="5"/>
      <c r="F579" s="5"/>
    </row>
    <row r="580" customFormat="false" ht="15" hidden="false" customHeight="true" outlineLevel="0" collapsed="false">
      <c r="A580" s="9" t="s">
        <v>58</v>
      </c>
      <c r="B580" s="5" t="s">
        <v>612</v>
      </c>
      <c r="C580" s="5"/>
      <c r="D580" s="5"/>
      <c r="E580" s="5"/>
      <c r="F580" s="5"/>
    </row>
    <row r="581" customFormat="false" ht="26.85" hidden="false" customHeight="true" outlineLevel="0" collapsed="false">
      <c r="A581" s="9" t="s">
        <v>60</v>
      </c>
      <c r="B581" s="5" t="s">
        <v>613</v>
      </c>
      <c r="C581" s="5"/>
      <c r="D581" s="5"/>
      <c r="E581" s="5"/>
      <c r="F581" s="5"/>
    </row>
    <row r="582" customFormat="false" ht="15" hidden="false" customHeight="false" outlineLevel="0" collapsed="false">
      <c r="A582" s="3" t="s">
        <v>62</v>
      </c>
      <c r="B582" s="3" t="s">
        <v>63</v>
      </c>
      <c r="C582" s="3" t="s">
        <v>64</v>
      </c>
      <c r="D582" s="3" t="s">
        <v>65</v>
      </c>
      <c r="E582" s="3" t="s">
        <v>66</v>
      </c>
      <c r="F582" s="3" t="s">
        <v>67</v>
      </c>
    </row>
    <row r="583" customFormat="false" ht="15" hidden="false" customHeight="false" outlineLevel="0" collapsed="false">
      <c r="A583" s="5" t="s">
        <v>597</v>
      </c>
      <c r="B583" s="4" t="n">
        <v>250</v>
      </c>
      <c r="C583" s="4" t="s">
        <v>69</v>
      </c>
      <c r="D583" s="4" t="s">
        <v>147</v>
      </c>
      <c r="E583" s="4" t="s">
        <v>191</v>
      </c>
      <c r="F583" s="4" t="s">
        <v>72</v>
      </c>
    </row>
    <row r="584" customFormat="false" ht="15" hidden="false" customHeight="false" outlineLevel="0" collapsed="false">
      <c r="A584" s="5" t="s">
        <v>614</v>
      </c>
      <c r="B584" s="4" t="n">
        <v>420</v>
      </c>
      <c r="C584" s="4" t="s">
        <v>74</v>
      </c>
      <c r="D584" s="4" t="s">
        <v>615</v>
      </c>
      <c r="E584" s="4" t="s">
        <v>616</v>
      </c>
      <c r="F584" s="4" t="s">
        <v>72</v>
      </c>
    </row>
    <row r="585" customFormat="false" ht="15" hidden="false" customHeight="false" outlineLevel="0" collapsed="false">
      <c r="A585" s="5" t="s">
        <v>576</v>
      </c>
      <c r="B585" s="4" t="n">
        <v>124</v>
      </c>
      <c r="C585" s="4" t="s">
        <v>69</v>
      </c>
      <c r="D585" s="4" t="s">
        <v>617</v>
      </c>
      <c r="E585" s="4" t="s">
        <v>578</v>
      </c>
      <c r="F585" s="4" t="s">
        <v>72</v>
      </c>
    </row>
    <row r="586" customFormat="false" ht="15" hidden="false" customHeight="false" outlineLevel="0" collapsed="false">
      <c r="A586" s="5" t="s">
        <v>267</v>
      </c>
      <c r="B586" s="4" t="n">
        <v>30</v>
      </c>
      <c r="C586" s="4" t="s">
        <v>69</v>
      </c>
      <c r="D586" s="4" t="s">
        <v>345</v>
      </c>
      <c r="E586" s="4" t="s">
        <v>269</v>
      </c>
      <c r="F586" s="11" t="s">
        <v>94</v>
      </c>
    </row>
    <row r="587" customFormat="false" ht="15" hidden="false" customHeight="false" outlineLevel="0" collapsed="false">
      <c r="A587" s="5" t="s">
        <v>88</v>
      </c>
      <c r="B587" s="4" t="n">
        <v>10</v>
      </c>
      <c r="C587" s="4" t="s">
        <v>74</v>
      </c>
      <c r="D587" s="4" t="s">
        <v>81</v>
      </c>
      <c r="E587" s="4" t="s">
        <v>90</v>
      </c>
      <c r="F587" s="10" t="s">
        <v>79</v>
      </c>
    </row>
    <row r="588" customFormat="false" ht="15" hidden="false" customHeight="false" outlineLevel="0" collapsed="false">
      <c r="A588" s="5" t="s">
        <v>95</v>
      </c>
      <c r="B588" s="4" t="n">
        <v>2</v>
      </c>
      <c r="C588" s="4" t="s">
        <v>69</v>
      </c>
      <c r="D588" s="4" t="s">
        <v>270</v>
      </c>
      <c r="E588" s="4" t="s">
        <v>97</v>
      </c>
      <c r="F588" s="10" t="s">
        <v>79</v>
      </c>
    </row>
    <row r="589" customFormat="false" ht="15" hidden="false" customHeight="false" outlineLevel="0" collapsed="false">
      <c r="A589" s="5" t="s">
        <v>98</v>
      </c>
      <c r="B589" s="4" t="n">
        <v>1</v>
      </c>
      <c r="C589" s="4" t="s">
        <v>69</v>
      </c>
      <c r="D589" s="4"/>
      <c r="E589" s="4" t="s">
        <v>97</v>
      </c>
      <c r="F589" s="10" t="s">
        <v>79</v>
      </c>
    </row>
    <row r="590" customFormat="false" ht="15" hidden="false" customHeight="true" outlineLevel="0" collapsed="false">
      <c r="A590" s="3" t="s">
        <v>100</v>
      </c>
      <c r="B590" s="3" t="s">
        <v>101</v>
      </c>
      <c r="C590" s="3"/>
      <c r="D590" s="3"/>
      <c r="E590" s="3"/>
      <c r="F590" s="3"/>
    </row>
    <row r="591" customFormat="false" ht="30" hidden="false" customHeight="true" outlineLevel="0" collapsed="false">
      <c r="A591" s="4" t="n">
        <v>1</v>
      </c>
      <c r="B591" s="5" t="s">
        <v>618</v>
      </c>
      <c r="C591" s="5"/>
      <c r="D591" s="5"/>
      <c r="E591" s="5"/>
      <c r="F591" s="5"/>
    </row>
    <row r="592" customFormat="false" ht="45" hidden="false" customHeight="true" outlineLevel="0" collapsed="false">
      <c r="A592" s="4" t="n">
        <v>2</v>
      </c>
      <c r="B592" s="5" t="s">
        <v>619</v>
      </c>
      <c r="C592" s="5"/>
      <c r="D592" s="5"/>
      <c r="E592" s="5"/>
      <c r="F592" s="5"/>
    </row>
    <row r="593" customFormat="false" ht="18" hidden="false" customHeight="true" outlineLevel="0" collapsed="false">
      <c r="A593" s="4" t="n">
        <v>3</v>
      </c>
      <c r="B593" s="5" t="s">
        <v>620</v>
      </c>
      <c r="C593" s="5"/>
      <c r="D593" s="5"/>
      <c r="E593" s="5"/>
      <c r="F593" s="5"/>
    </row>
    <row r="594" customFormat="false" ht="30" hidden="false" customHeight="true" outlineLevel="0" collapsed="false">
      <c r="A594" s="4" t="n">
        <v>4</v>
      </c>
      <c r="B594" s="5" t="s">
        <v>621</v>
      </c>
      <c r="C594" s="5"/>
      <c r="D594" s="5"/>
      <c r="E594" s="5"/>
      <c r="F594" s="5"/>
    </row>
    <row r="595" customFormat="false" ht="18" hidden="false" customHeight="true" outlineLevel="0" collapsed="false">
      <c r="A595" s="4" t="n">
        <v>5</v>
      </c>
      <c r="B595" s="5" t="s">
        <v>622</v>
      </c>
      <c r="C595" s="5"/>
      <c r="D595" s="5"/>
      <c r="E595" s="5"/>
      <c r="F595" s="5"/>
    </row>
    <row r="596" customFormat="false" ht="18" hidden="false" customHeight="true" outlineLevel="0" collapsed="false">
      <c r="A596" s="4" t="n">
        <v>6</v>
      </c>
      <c r="B596" s="5" t="s">
        <v>623</v>
      </c>
      <c r="C596" s="5"/>
      <c r="D596" s="5"/>
      <c r="E596" s="5"/>
      <c r="F596" s="5"/>
    </row>
    <row r="597" customFormat="false" ht="30" hidden="false" customHeight="true" outlineLevel="0" collapsed="false">
      <c r="A597" s="4" t="n">
        <v>7</v>
      </c>
      <c r="B597" s="5" t="s">
        <v>624</v>
      </c>
      <c r="C597" s="5"/>
      <c r="D597" s="5"/>
      <c r="E597" s="5"/>
      <c r="F597" s="5"/>
    </row>
  </sheetData>
  <mergeCells count="285">
    <mergeCell ref="B4:F4"/>
    <mergeCell ref="B5:F5"/>
    <mergeCell ref="B6:F6"/>
    <mergeCell ref="B7:F7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30:F30"/>
    <mergeCell ref="B31:F31"/>
    <mergeCell ref="B32:F32"/>
    <mergeCell ref="B33:F33"/>
    <mergeCell ref="B43:F43"/>
    <mergeCell ref="B44:F44"/>
    <mergeCell ref="B45:F45"/>
    <mergeCell ref="B46:F46"/>
    <mergeCell ref="B47:F47"/>
    <mergeCell ref="B48:F48"/>
    <mergeCell ref="B49:F49"/>
    <mergeCell ref="B52:F52"/>
    <mergeCell ref="B53:F53"/>
    <mergeCell ref="B54:F54"/>
    <mergeCell ref="B55:F55"/>
    <mergeCell ref="B63:F63"/>
    <mergeCell ref="B64:F64"/>
    <mergeCell ref="B65:F65"/>
    <mergeCell ref="B66:F66"/>
    <mergeCell ref="B67:F67"/>
    <mergeCell ref="B68:F68"/>
    <mergeCell ref="B69:F69"/>
    <mergeCell ref="B72:F72"/>
    <mergeCell ref="B73:F73"/>
    <mergeCell ref="B74:F74"/>
    <mergeCell ref="B75:F75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9:F99"/>
    <mergeCell ref="B100:F100"/>
    <mergeCell ref="B101:F101"/>
    <mergeCell ref="B102:F102"/>
    <mergeCell ref="B111:F111"/>
    <mergeCell ref="B112:F112"/>
    <mergeCell ref="B113:F113"/>
    <mergeCell ref="B114:F114"/>
    <mergeCell ref="B115:F115"/>
    <mergeCell ref="B116:F116"/>
    <mergeCell ref="B117:F117"/>
    <mergeCell ref="B120:F120"/>
    <mergeCell ref="B121:F121"/>
    <mergeCell ref="B122:F122"/>
    <mergeCell ref="B123:F123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9:F149"/>
    <mergeCell ref="B150:F150"/>
    <mergeCell ref="B151:F151"/>
    <mergeCell ref="B152:F152"/>
    <mergeCell ref="B163:F163"/>
    <mergeCell ref="B164:F164"/>
    <mergeCell ref="B165:F165"/>
    <mergeCell ref="B166:F166"/>
    <mergeCell ref="B167:F167"/>
    <mergeCell ref="B168:F168"/>
    <mergeCell ref="B169:F169"/>
    <mergeCell ref="B172:F172"/>
    <mergeCell ref="B173:F173"/>
    <mergeCell ref="B174:F174"/>
    <mergeCell ref="B175:F175"/>
    <mergeCell ref="B185:F185"/>
    <mergeCell ref="B186:F186"/>
    <mergeCell ref="B187:F187"/>
    <mergeCell ref="B188:F188"/>
    <mergeCell ref="B189:F189"/>
    <mergeCell ref="B190:F190"/>
    <mergeCell ref="B191:F191"/>
    <mergeCell ref="B194:F194"/>
    <mergeCell ref="B195:F195"/>
    <mergeCell ref="B196:F196"/>
    <mergeCell ref="B197:F197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9:F219"/>
    <mergeCell ref="B220:F220"/>
    <mergeCell ref="B221:F221"/>
    <mergeCell ref="B222:F222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41:F241"/>
    <mergeCell ref="B242:F242"/>
    <mergeCell ref="B243:F243"/>
    <mergeCell ref="B244:F244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4:F274"/>
    <mergeCell ref="B275:F275"/>
    <mergeCell ref="B276:F276"/>
    <mergeCell ref="B277:F277"/>
    <mergeCell ref="B288:F288"/>
    <mergeCell ref="B289:F289"/>
    <mergeCell ref="B290:F290"/>
    <mergeCell ref="B291:F291"/>
    <mergeCell ref="B292:F292"/>
    <mergeCell ref="B293:F293"/>
    <mergeCell ref="B296:F296"/>
    <mergeCell ref="B297:F297"/>
    <mergeCell ref="B298:F298"/>
    <mergeCell ref="B299:F299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4:F324"/>
    <mergeCell ref="B325:F325"/>
    <mergeCell ref="B326:F326"/>
    <mergeCell ref="B327:F327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51:F351"/>
    <mergeCell ref="B352:F352"/>
    <mergeCell ref="B353:F353"/>
    <mergeCell ref="B354:F354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4:F374"/>
    <mergeCell ref="B375:F375"/>
    <mergeCell ref="B376:F376"/>
    <mergeCell ref="B377:F377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401:F401"/>
    <mergeCell ref="B402:F402"/>
    <mergeCell ref="B403:F403"/>
    <mergeCell ref="B404:F404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8:F428"/>
    <mergeCell ref="B429:F429"/>
    <mergeCell ref="B430:F430"/>
    <mergeCell ref="B431:F431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5:F455"/>
    <mergeCell ref="B456:F456"/>
    <mergeCell ref="B457:F457"/>
    <mergeCell ref="B458:F458"/>
    <mergeCell ref="B469:F469"/>
    <mergeCell ref="B470:F470"/>
    <mergeCell ref="B471:F471"/>
    <mergeCell ref="B472:F472"/>
    <mergeCell ref="B473:F473"/>
    <mergeCell ref="B474:F474"/>
    <mergeCell ref="B475:F475"/>
    <mergeCell ref="B478:F478"/>
    <mergeCell ref="B479:F479"/>
    <mergeCell ref="B480:F480"/>
    <mergeCell ref="B481:F481"/>
    <mergeCell ref="B494:F494"/>
    <mergeCell ref="B495:F495"/>
    <mergeCell ref="B496:F496"/>
    <mergeCell ref="B497:F497"/>
    <mergeCell ref="B498:F498"/>
    <mergeCell ref="B499:F499"/>
    <mergeCell ref="B502:F502"/>
    <mergeCell ref="B503:F503"/>
    <mergeCell ref="B504:F504"/>
    <mergeCell ref="B505:F505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9:F529"/>
    <mergeCell ref="B530:F530"/>
    <mergeCell ref="B531:F531"/>
    <mergeCell ref="B532:F532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6:F556"/>
    <mergeCell ref="B557:F557"/>
    <mergeCell ref="B558:F558"/>
    <mergeCell ref="B559:F559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8:F578"/>
    <mergeCell ref="B579:F579"/>
    <mergeCell ref="B580:F580"/>
    <mergeCell ref="B581:F581"/>
    <mergeCell ref="B590:F590"/>
    <mergeCell ref="B591:F591"/>
    <mergeCell ref="B592:F592"/>
    <mergeCell ref="B593:F593"/>
    <mergeCell ref="B594:F594"/>
    <mergeCell ref="B595:F595"/>
    <mergeCell ref="B596:F596"/>
    <mergeCell ref="B597:F5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7" min="4" style="0" width="9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625</v>
      </c>
    </row>
    <row r="3" customFormat="false" ht="16.15" hidden="false" customHeight="false" outlineLevel="0" collapsed="false">
      <c r="A3" s="1" t="s">
        <v>53</v>
      </c>
    </row>
    <row r="4" customFormat="false" ht="26.85" hidden="false" customHeight="false" outlineLevel="0" collapsed="false">
      <c r="A4" s="3" t="s">
        <v>626</v>
      </c>
      <c r="B4" s="3" t="s">
        <v>627</v>
      </c>
      <c r="C4" s="3" t="s">
        <v>64</v>
      </c>
      <c r="D4" s="3" t="s">
        <v>628</v>
      </c>
      <c r="E4" s="3" t="s">
        <v>629</v>
      </c>
      <c r="F4" s="3" t="s">
        <v>630</v>
      </c>
      <c r="G4" s="3" t="s">
        <v>631</v>
      </c>
      <c r="H4" s="3" t="s">
        <v>632</v>
      </c>
      <c r="I4" s="3" t="s">
        <v>633</v>
      </c>
      <c r="J4" s="3" t="s">
        <v>634</v>
      </c>
      <c r="K4" s="3" t="s">
        <v>635</v>
      </c>
      <c r="L4" s="3" t="s">
        <v>636</v>
      </c>
    </row>
    <row r="5" customFormat="false" ht="15" hidden="false" customHeight="false" outlineLevel="0" collapsed="false">
      <c r="A5" s="5" t="s">
        <v>68</v>
      </c>
      <c r="B5" s="12" t="n">
        <v>130</v>
      </c>
      <c r="C5" s="4" t="s">
        <v>69</v>
      </c>
      <c r="D5" s="12" t="n">
        <v>110</v>
      </c>
      <c r="E5" s="12" t="n">
        <v>23</v>
      </c>
      <c r="F5" s="12" t="n">
        <v>0</v>
      </c>
      <c r="G5" s="12" t="n">
        <v>2</v>
      </c>
      <c r="H5" s="13" t="n">
        <f aca="false">B5*D5/100</f>
        <v>143</v>
      </c>
      <c r="I5" s="13" t="n">
        <f aca="false">B5*E5/100</f>
        <v>29.9</v>
      </c>
      <c r="J5" s="13" t="n">
        <f aca="false">B5*F5/100</f>
        <v>0</v>
      </c>
      <c r="K5" s="13" t="n">
        <f aca="false">B5*G5/100</f>
        <v>2.6</v>
      </c>
    </row>
    <row r="6" customFormat="false" ht="15" hidden="false" customHeight="false" outlineLevel="0" collapsed="false">
      <c r="A6" s="5" t="s">
        <v>73</v>
      </c>
      <c r="B6" s="12" t="n">
        <v>100</v>
      </c>
      <c r="C6" s="4" t="s">
        <v>74</v>
      </c>
      <c r="D6" s="12" t="n">
        <v>180</v>
      </c>
      <c r="E6" s="12" t="n">
        <v>1.5</v>
      </c>
      <c r="F6" s="12" t="n">
        <v>3</v>
      </c>
      <c r="G6" s="12" t="n">
        <v>18</v>
      </c>
      <c r="H6" s="13" t="n">
        <f aca="false">B6*D6/100</f>
        <v>180</v>
      </c>
      <c r="I6" s="13" t="n">
        <f aca="false">B6*E6/100</f>
        <v>1.5</v>
      </c>
      <c r="J6" s="13" t="n">
        <f aca="false">B6*F6/100</f>
        <v>3</v>
      </c>
      <c r="K6" s="13" t="n">
        <f aca="false">B6*G6/100</f>
        <v>18</v>
      </c>
    </row>
    <row r="7" customFormat="false" ht="15" hidden="false" customHeight="false" outlineLevel="0" collapsed="false">
      <c r="A7" s="5" t="s">
        <v>76</v>
      </c>
      <c r="B7" s="12" t="n">
        <v>2</v>
      </c>
      <c r="C7" s="4" t="s">
        <v>69</v>
      </c>
      <c r="D7" s="12" t="n">
        <v>330</v>
      </c>
      <c r="E7" s="12" t="n">
        <v>12</v>
      </c>
      <c r="F7" s="12" t="n">
        <v>40</v>
      </c>
      <c r="G7" s="12" t="n">
        <v>12</v>
      </c>
      <c r="H7" s="13" t="n">
        <f aca="false">B7*D7/100</f>
        <v>6.6</v>
      </c>
      <c r="I7" s="13" t="n">
        <f aca="false">B7*E7/100</f>
        <v>0.24</v>
      </c>
      <c r="J7" s="13" t="n">
        <f aca="false">B7*F7/100</f>
        <v>0.8</v>
      </c>
      <c r="K7" s="13" t="n">
        <f aca="false">B7*G7/100</f>
        <v>0.24</v>
      </c>
    </row>
    <row r="8" customFormat="false" ht="15" hidden="false" customHeight="false" outlineLevel="0" collapsed="false">
      <c r="A8" s="5" t="s">
        <v>80</v>
      </c>
      <c r="B8" s="12" t="n">
        <v>5</v>
      </c>
      <c r="C8" s="4" t="s">
        <v>74</v>
      </c>
      <c r="D8" s="12" t="n">
        <v>60</v>
      </c>
      <c r="E8" s="12" t="n">
        <v>6</v>
      </c>
      <c r="F8" s="12" t="n">
        <v>6</v>
      </c>
      <c r="G8" s="12" t="n">
        <v>0</v>
      </c>
      <c r="H8" s="13" t="n">
        <f aca="false">B8*D8/100</f>
        <v>3</v>
      </c>
      <c r="I8" s="13" t="n">
        <f aca="false">B8*E8/100</f>
        <v>0.3</v>
      </c>
      <c r="J8" s="13" t="n">
        <f aca="false">B8*F8/100</f>
        <v>0.3</v>
      </c>
      <c r="K8" s="13" t="n">
        <f aca="false">B8*G8/100</f>
        <v>0</v>
      </c>
    </row>
    <row r="9" customFormat="false" ht="15" hidden="false" customHeight="false" outlineLevel="0" collapsed="false">
      <c r="A9" s="5" t="s">
        <v>82</v>
      </c>
      <c r="B9" s="12" t="n">
        <v>20</v>
      </c>
      <c r="C9" s="4" t="s">
        <v>69</v>
      </c>
      <c r="D9" s="12" t="n">
        <v>600</v>
      </c>
      <c r="E9" s="12" t="n">
        <v>18</v>
      </c>
      <c r="F9" s="12" t="n">
        <v>22</v>
      </c>
      <c r="G9" s="12" t="n">
        <v>48</v>
      </c>
      <c r="H9" s="13" t="n">
        <f aca="false">B9*D9/100</f>
        <v>120</v>
      </c>
      <c r="I9" s="13" t="n">
        <f aca="false">B9*E9/100</f>
        <v>3.6</v>
      </c>
      <c r="J9" s="13" t="n">
        <f aca="false">B9*F9/100</f>
        <v>4.4</v>
      </c>
      <c r="K9" s="13" t="n">
        <f aca="false">B9*G9/100</f>
        <v>9.6</v>
      </c>
    </row>
    <row r="10" customFormat="false" ht="15" hidden="false" customHeight="false" outlineLevel="0" collapsed="false">
      <c r="A10" s="5" t="s">
        <v>85</v>
      </c>
      <c r="B10" s="12" t="n">
        <v>5</v>
      </c>
      <c r="C10" s="4" t="s">
        <v>69</v>
      </c>
      <c r="D10" s="12" t="n">
        <v>350</v>
      </c>
      <c r="E10" s="12" t="n">
        <v>10</v>
      </c>
      <c r="F10" s="12" t="n">
        <v>72</v>
      </c>
      <c r="G10" s="12" t="n">
        <v>1</v>
      </c>
      <c r="H10" s="13" t="n">
        <f aca="false">B10*D10/100</f>
        <v>17.5</v>
      </c>
      <c r="I10" s="13" t="n">
        <f aca="false">B10*E10/100</f>
        <v>0.5</v>
      </c>
      <c r="J10" s="13" t="n">
        <f aca="false">B10*F10/100</f>
        <v>3.6</v>
      </c>
      <c r="K10" s="13" t="n">
        <f aca="false">B10*G10/100</f>
        <v>0.05</v>
      </c>
    </row>
    <row r="11" customFormat="false" ht="15" hidden="false" customHeight="false" outlineLevel="0" collapsed="false">
      <c r="A11" s="5" t="s">
        <v>88</v>
      </c>
      <c r="B11" s="12" t="n">
        <v>15</v>
      </c>
      <c r="C11" s="4" t="s">
        <v>74</v>
      </c>
      <c r="D11" s="12" t="n">
        <v>900</v>
      </c>
      <c r="E11" s="12" t="n">
        <v>0</v>
      </c>
      <c r="F11" s="12" t="n">
        <v>0</v>
      </c>
      <c r="G11" s="12" t="n">
        <v>100</v>
      </c>
      <c r="H11" s="13" t="n">
        <f aca="false">B11*D11/100</f>
        <v>135</v>
      </c>
      <c r="I11" s="13" t="n">
        <f aca="false">B11*E11/100</f>
        <v>0</v>
      </c>
      <c r="J11" s="13" t="n">
        <f aca="false">B11*F11/100</f>
        <v>0</v>
      </c>
      <c r="K11" s="13" t="n">
        <f aca="false">B11*G11/100</f>
        <v>15</v>
      </c>
    </row>
    <row r="12" customFormat="false" ht="15" hidden="false" customHeight="false" outlineLevel="0" collapsed="false">
      <c r="A12" s="5" t="s">
        <v>91</v>
      </c>
      <c r="B12" s="12" t="n">
        <v>80</v>
      </c>
      <c r="C12" s="4" t="s">
        <v>69</v>
      </c>
      <c r="D12" s="12" t="n">
        <v>350</v>
      </c>
      <c r="E12" s="12" t="n">
        <v>7</v>
      </c>
      <c r="F12" s="12" t="n">
        <v>78</v>
      </c>
      <c r="G12" s="12" t="n">
        <v>0.6</v>
      </c>
      <c r="H12" s="13" t="n">
        <f aca="false">B12*D12/100</f>
        <v>280</v>
      </c>
      <c r="I12" s="13" t="n">
        <f aca="false">B12*E12/100</f>
        <v>5.6</v>
      </c>
      <c r="J12" s="13" t="n">
        <f aca="false">B12*F12/100</f>
        <v>62.4</v>
      </c>
      <c r="K12" s="13" t="n">
        <f aca="false">B12*G12/100</f>
        <v>0.48</v>
      </c>
    </row>
    <row r="13" customFormat="false" ht="15" hidden="false" customHeight="false" outlineLevel="0" collapsed="false">
      <c r="A13" s="5" t="s">
        <v>95</v>
      </c>
      <c r="B13" s="12" t="n">
        <v>1</v>
      </c>
      <c r="C13" s="4" t="s">
        <v>69</v>
      </c>
      <c r="D13" s="12" t="n">
        <v>0</v>
      </c>
      <c r="E13" s="12" t="n">
        <v>0</v>
      </c>
      <c r="F13" s="12" t="n">
        <v>0</v>
      </c>
      <c r="G13" s="12" t="n">
        <v>0</v>
      </c>
      <c r="H13" s="13" t="n">
        <f aca="false">B13*D13/100</f>
        <v>0</v>
      </c>
      <c r="I13" s="13" t="n">
        <f aca="false">B13*E13/100</f>
        <v>0</v>
      </c>
      <c r="J13" s="13" t="n">
        <f aca="false">B13*F13/100</f>
        <v>0</v>
      </c>
      <c r="K13" s="13" t="n">
        <f aca="false">B13*G13/100</f>
        <v>0</v>
      </c>
    </row>
    <row r="14" customFormat="false" ht="15" hidden="false" customHeight="false" outlineLevel="0" collapsed="false">
      <c r="A14" s="5" t="s">
        <v>98</v>
      </c>
      <c r="B14" s="12" t="n">
        <v>0.5</v>
      </c>
      <c r="C14" s="4" t="s">
        <v>69</v>
      </c>
      <c r="D14" s="12" t="n">
        <v>0</v>
      </c>
      <c r="E14" s="12" t="n">
        <v>0</v>
      </c>
      <c r="F14" s="12" t="n">
        <v>0</v>
      </c>
      <c r="G14" s="12" t="n">
        <v>0</v>
      </c>
      <c r="H14" s="13" t="n">
        <f aca="false">B14*D14/100</f>
        <v>0</v>
      </c>
      <c r="I14" s="13" t="n">
        <f aca="false">B14*E14/100</f>
        <v>0</v>
      </c>
      <c r="J14" s="13" t="n">
        <f aca="false">B14*F14/100</f>
        <v>0</v>
      </c>
      <c r="K14" s="13" t="n">
        <f aca="false">B14*G14/100</f>
        <v>0</v>
      </c>
    </row>
    <row r="15" customFormat="false" ht="15" hidden="false" customHeight="false" outlineLevel="0" collapsed="false">
      <c r="A15" s="9" t="s">
        <v>637</v>
      </c>
      <c r="H15" s="14" t="n">
        <f aca="false">SUM(H5:H14)</f>
        <v>885.1</v>
      </c>
      <c r="I15" s="14" t="n">
        <f aca="false">SUM(I5:I14)</f>
        <v>41.64</v>
      </c>
      <c r="J15" s="14" t="n">
        <f aca="false">SUM(J5:J14)</f>
        <v>74.5</v>
      </c>
      <c r="K15" s="14" t="n">
        <f aca="false">SUM(K5:K14)</f>
        <v>45.97</v>
      </c>
      <c r="L15" s="9" t="str">
        <f aca="false">IF(H15&gt;=700,"≥ 700 kcal OK","&lt; 700 kcal")</f>
        <v>≥ 700 kcal OK</v>
      </c>
    </row>
    <row r="16" customFormat="false" ht="15" hidden="false" customHeight="false" outlineLevel="0" collapsed="false">
      <c r="A16" s="9" t="s">
        <v>638</v>
      </c>
      <c r="H16" s="7" t="n">
        <f aca="false">H15*2</f>
        <v>1770.2</v>
      </c>
      <c r="I16" s="7" t="n">
        <f aca="false">I15*2</f>
        <v>83.28</v>
      </c>
      <c r="J16" s="7" t="n">
        <f aca="false">J15*2</f>
        <v>149</v>
      </c>
      <c r="K16" s="7" t="n">
        <f aca="false">K15*2</f>
        <v>91.94</v>
      </c>
    </row>
    <row r="17" customFormat="false" ht="15" hidden="false" customHeight="false" outlineLevel="0" collapsed="false">
      <c r="A17" s="4" t="s">
        <v>639</v>
      </c>
      <c r="I17" s="15" t="n">
        <f aca="false">I15*4/H15</f>
        <v>0.188182126313411</v>
      </c>
      <c r="J17" s="15" t="n">
        <f aca="false">J15*4/H15</f>
        <v>0.336685120325387</v>
      </c>
      <c r="K17" s="15" t="n">
        <f aca="false">K15*9/H15</f>
        <v>0.467438707490679</v>
      </c>
    </row>
    <row r="19" customFormat="false" ht="16.15" hidden="false" customHeight="false" outlineLevel="0" collapsed="false">
      <c r="A19" s="1" t="s">
        <v>110</v>
      </c>
    </row>
    <row r="20" customFormat="false" ht="26.85" hidden="false" customHeight="false" outlineLevel="0" collapsed="false">
      <c r="A20" s="3" t="s">
        <v>626</v>
      </c>
      <c r="B20" s="3" t="s">
        <v>627</v>
      </c>
      <c r="C20" s="3" t="s">
        <v>64</v>
      </c>
      <c r="D20" s="3" t="s">
        <v>628</v>
      </c>
      <c r="E20" s="3" t="s">
        <v>629</v>
      </c>
      <c r="F20" s="3" t="s">
        <v>630</v>
      </c>
      <c r="G20" s="3" t="s">
        <v>631</v>
      </c>
      <c r="H20" s="3" t="s">
        <v>632</v>
      </c>
      <c r="I20" s="3" t="s">
        <v>633</v>
      </c>
      <c r="J20" s="3" t="s">
        <v>634</v>
      </c>
      <c r="K20" s="3" t="s">
        <v>635</v>
      </c>
      <c r="L20" s="3" t="s">
        <v>636</v>
      </c>
    </row>
    <row r="21" customFormat="false" ht="15" hidden="false" customHeight="false" outlineLevel="0" collapsed="false">
      <c r="A21" s="5" t="s">
        <v>114</v>
      </c>
      <c r="B21" s="12" t="n">
        <v>250</v>
      </c>
      <c r="C21" s="4" t="s">
        <v>69</v>
      </c>
      <c r="D21" s="12" t="n">
        <v>150</v>
      </c>
      <c r="E21" s="12" t="n">
        <v>4</v>
      </c>
      <c r="F21" s="12" t="n">
        <v>31</v>
      </c>
      <c r="G21" s="12" t="n">
        <v>1.5</v>
      </c>
      <c r="H21" s="13" t="n">
        <f aca="false">B21*D21/100</f>
        <v>375</v>
      </c>
      <c r="I21" s="13" t="n">
        <f aca="false">B21*E21/100</f>
        <v>10</v>
      </c>
      <c r="J21" s="13" t="n">
        <f aca="false">B21*F21/100</f>
        <v>77.5</v>
      </c>
      <c r="K21" s="13" t="n">
        <f aca="false">B21*G21/100</f>
        <v>3.75</v>
      </c>
    </row>
    <row r="22" customFormat="false" ht="15" hidden="false" customHeight="false" outlineLevel="0" collapsed="false">
      <c r="A22" s="5" t="s">
        <v>117</v>
      </c>
      <c r="B22" s="12" t="n">
        <v>50</v>
      </c>
      <c r="C22" s="4" t="s">
        <v>69</v>
      </c>
      <c r="D22" s="12" t="n">
        <v>40</v>
      </c>
      <c r="E22" s="12" t="n">
        <v>1</v>
      </c>
      <c r="F22" s="12" t="n">
        <v>8</v>
      </c>
      <c r="G22" s="12" t="n">
        <v>0</v>
      </c>
      <c r="H22" s="13" t="n">
        <f aca="false">B22*D22/100</f>
        <v>20</v>
      </c>
      <c r="I22" s="13" t="n">
        <f aca="false">B22*E22/100</f>
        <v>0.5</v>
      </c>
      <c r="J22" s="13" t="n">
        <f aca="false">B22*F22/100</f>
        <v>4</v>
      </c>
      <c r="K22" s="13" t="n">
        <f aca="false">B22*G22/100</f>
        <v>0</v>
      </c>
    </row>
    <row r="23" customFormat="false" ht="15" hidden="false" customHeight="false" outlineLevel="0" collapsed="false">
      <c r="A23" s="5" t="s">
        <v>120</v>
      </c>
      <c r="B23" s="12" t="n">
        <v>60</v>
      </c>
      <c r="C23" s="4" t="s">
        <v>69</v>
      </c>
      <c r="D23" s="12" t="n">
        <v>300</v>
      </c>
      <c r="E23" s="12" t="n">
        <v>15</v>
      </c>
      <c r="F23" s="12" t="n">
        <v>1</v>
      </c>
      <c r="G23" s="12" t="n">
        <v>27</v>
      </c>
      <c r="H23" s="13" t="n">
        <f aca="false">B23*D23/100</f>
        <v>180</v>
      </c>
      <c r="I23" s="13" t="n">
        <f aca="false">B23*E23/100</f>
        <v>9</v>
      </c>
      <c r="J23" s="13" t="n">
        <f aca="false">B23*F23/100</f>
        <v>0.6</v>
      </c>
      <c r="K23" s="13" t="n">
        <f aca="false">B23*G23/100</f>
        <v>16.2</v>
      </c>
    </row>
    <row r="24" customFormat="false" ht="15" hidden="false" customHeight="false" outlineLevel="0" collapsed="false">
      <c r="A24" s="5" t="s">
        <v>122</v>
      </c>
      <c r="B24" s="12" t="n">
        <v>20</v>
      </c>
      <c r="C24" s="4" t="s">
        <v>69</v>
      </c>
      <c r="D24" s="12" t="n">
        <v>380</v>
      </c>
      <c r="E24" s="12" t="n">
        <v>28</v>
      </c>
      <c r="F24" s="12" t="n">
        <v>0.5</v>
      </c>
      <c r="G24" s="12" t="n">
        <v>30</v>
      </c>
      <c r="H24" s="13" t="n">
        <f aca="false">B24*D24/100</f>
        <v>76</v>
      </c>
      <c r="I24" s="13" t="n">
        <f aca="false">B24*E24/100</f>
        <v>5.6</v>
      </c>
      <c r="J24" s="13" t="n">
        <f aca="false">B24*F24/100</f>
        <v>0.1</v>
      </c>
      <c r="K24" s="13" t="n">
        <f aca="false">B24*G24/100</f>
        <v>6</v>
      </c>
    </row>
    <row r="25" customFormat="false" ht="15" hidden="false" customHeight="false" outlineLevel="0" collapsed="false">
      <c r="A25" s="5" t="s">
        <v>125</v>
      </c>
      <c r="B25" s="12" t="n">
        <v>100</v>
      </c>
      <c r="C25" s="4" t="s">
        <v>74</v>
      </c>
      <c r="D25" s="12" t="n">
        <v>165</v>
      </c>
      <c r="E25" s="12" t="n">
        <v>2.5</v>
      </c>
      <c r="F25" s="12" t="n">
        <v>4</v>
      </c>
      <c r="G25" s="12" t="n">
        <v>15</v>
      </c>
      <c r="H25" s="13" t="n">
        <f aca="false">B25*D25/100</f>
        <v>165</v>
      </c>
      <c r="I25" s="13" t="n">
        <f aca="false">B25*E25/100</f>
        <v>2.5</v>
      </c>
      <c r="J25" s="13" t="n">
        <f aca="false">B25*F25/100</f>
        <v>4</v>
      </c>
      <c r="K25" s="13" t="n">
        <f aca="false">B25*G25/100</f>
        <v>15</v>
      </c>
    </row>
    <row r="26" customFormat="false" ht="15" hidden="false" customHeight="false" outlineLevel="0" collapsed="false">
      <c r="A26" s="5" t="s">
        <v>127</v>
      </c>
      <c r="B26" s="12" t="n">
        <v>50</v>
      </c>
      <c r="C26" s="4" t="s">
        <v>69</v>
      </c>
      <c r="D26" s="12" t="n">
        <v>20</v>
      </c>
      <c r="E26" s="12" t="n">
        <v>2.5</v>
      </c>
      <c r="F26" s="12" t="n">
        <v>1</v>
      </c>
      <c r="G26" s="12" t="n">
        <v>0.4</v>
      </c>
      <c r="H26" s="13" t="n">
        <f aca="false">B26*D26/100</f>
        <v>10</v>
      </c>
      <c r="I26" s="13" t="n">
        <f aca="false">B26*E26/100</f>
        <v>1.25</v>
      </c>
      <c r="J26" s="13" t="n">
        <f aca="false">B26*F26/100</f>
        <v>0.5</v>
      </c>
      <c r="K26" s="13" t="n">
        <f aca="false">B26*G26/100</f>
        <v>0.2</v>
      </c>
    </row>
    <row r="27" customFormat="false" ht="15" hidden="false" customHeight="false" outlineLevel="0" collapsed="false">
      <c r="A27" s="5" t="s">
        <v>95</v>
      </c>
      <c r="B27" s="12" t="n">
        <v>1</v>
      </c>
      <c r="C27" s="4" t="s">
        <v>69</v>
      </c>
      <c r="D27" s="12" t="n">
        <v>0</v>
      </c>
      <c r="E27" s="12" t="n">
        <v>0</v>
      </c>
      <c r="F27" s="12" t="n">
        <v>0</v>
      </c>
      <c r="G27" s="12" t="n">
        <v>0</v>
      </c>
      <c r="H27" s="13" t="n">
        <f aca="false">B27*D27/100</f>
        <v>0</v>
      </c>
      <c r="I27" s="13" t="n">
        <f aca="false">B27*E27/100</f>
        <v>0</v>
      </c>
      <c r="J27" s="13" t="n">
        <f aca="false">B27*F27/100</f>
        <v>0</v>
      </c>
      <c r="K27" s="13" t="n">
        <f aca="false">B27*G27/100</f>
        <v>0</v>
      </c>
    </row>
    <row r="28" customFormat="false" ht="15" hidden="false" customHeight="false" outlineLevel="0" collapsed="false">
      <c r="A28" s="5" t="s">
        <v>98</v>
      </c>
      <c r="B28" s="12" t="n">
        <v>0.5</v>
      </c>
      <c r="C28" s="4" t="s">
        <v>69</v>
      </c>
      <c r="D28" s="12" t="n">
        <v>0</v>
      </c>
      <c r="E28" s="12" t="n">
        <v>0</v>
      </c>
      <c r="F28" s="12" t="n">
        <v>0</v>
      </c>
      <c r="G28" s="12" t="n">
        <v>0</v>
      </c>
      <c r="H28" s="13" t="n">
        <f aca="false">B28*D28/100</f>
        <v>0</v>
      </c>
      <c r="I28" s="13" t="n">
        <f aca="false">B28*E28/100</f>
        <v>0</v>
      </c>
      <c r="J28" s="13" t="n">
        <f aca="false">B28*F28/100</f>
        <v>0</v>
      </c>
      <c r="K28" s="13" t="n">
        <f aca="false">B28*G28/100</f>
        <v>0</v>
      </c>
    </row>
    <row r="29" customFormat="false" ht="15" hidden="false" customHeight="false" outlineLevel="0" collapsed="false">
      <c r="A29" s="9" t="s">
        <v>637</v>
      </c>
      <c r="H29" s="14" t="n">
        <f aca="false">SUM(H21:H28)</f>
        <v>826</v>
      </c>
      <c r="I29" s="14" t="n">
        <f aca="false">SUM(I21:I28)</f>
        <v>28.85</v>
      </c>
      <c r="J29" s="14" t="n">
        <f aca="false">SUM(J21:J28)</f>
        <v>86.7</v>
      </c>
      <c r="K29" s="14" t="n">
        <f aca="false">SUM(K21:K28)</f>
        <v>41.15</v>
      </c>
      <c r="L29" s="9" t="str">
        <f aca="false">IF(H29&gt;=700,"≥ 700 kcal OK","&lt; 700 kcal")</f>
        <v>≥ 700 kcal OK</v>
      </c>
    </row>
    <row r="30" customFormat="false" ht="15" hidden="false" customHeight="false" outlineLevel="0" collapsed="false">
      <c r="A30" s="9" t="s">
        <v>638</v>
      </c>
      <c r="H30" s="7" t="n">
        <f aca="false">H29*2</f>
        <v>1652</v>
      </c>
      <c r="I30" s="7" t="n">
        <f aca="false">I29*2</f>
        <v>57.7</v>
      </c>
      <c r="J30" s="7" t="n">
        <f aca="false">J29*2</f>
        <v>173.4</v>
      </c>
      <c r="K30" s="7" t="n">
        <f aca="false">K29*2</f>
        <v>82.3</v>
      </c>
    </row>
    <row r="31" customFormat="false" ht="15" hidden="false" customHeight="false" outlineLevel="0" collapsed="false">
      <c r="A31" s="4" t="s">
        <v>639</v>
      </c>
      <c r="I31" s="15" t="n">
        <f aca="false">I29*4/H29</f>
        <v>0.139709443099274</v>
      </c>
      <c r="J31" s="15" t="n">
        <f aca="false">J29*4/H29</f>
        <v>0.419854721549637</v>
      </c>
      <c r="K31" s="15" t="n">
        <f aca="false">K29*9/H29</f>
        <v>0.448365617433414</v>
      </c>
    </row>
    <row r="33" customFormat="false" ht="16.15" hidden="false" customHeight="false" outlineLevel="0" collapsed="false">
      <c r="A33" s="1" t="s">
        <v>136</v>
      </c>
    </row>
    <row r="34" customFormat="false" ht="26.85" hidden="false" customHeight="false" outlineLevel="0" collapsed="false">
      <c r="A34" s="3" t="s">
        <v>626</v>
      </c>
      <c r="B34" s="3" t="s">
        <v>627</v>
      </c>
      <c r="C34" s="3" t="s">
        <v>64</v>
      </c>
      <c r="D34" s="3" t="s">
        <v>628</v>
      </c>
      <c r="E34" s="3" t="s">
        <v>629</v>
      </c>
      <c r="F34" s="3" t="s">
        <v>630</v>
      </c>
      <c r="G34" s="3" t="s">
        <v>631</v>
      </c>
      <c r="H34" s="3" t="s">
        <v>632</v>
      </c>
      <c r="I34" s="3" t="s">
        <v>633</v>
      </c>
      <c r="J34" s="3" t="s">
        <v>634</v>
      </c>
      <c r="K34" s="3" t="s">
        <v>635</v>
      </c>
      <c r="L34" s="3" t="s">
        <v>636</v>
      </c>
    </row>
    <row r="35" customFormat="false" ht="15" hidden="false" customHeight="false" outlineLevel="0" collapsed="false">
      <c r="A35" s="5" t="s">
        <v>140</v>
      </c>
      <c r="B35" s="12" t="n">
        <v>160</v>
      </c>
      <c r="C35" s="4" t="s">
        <v>69</v>
      </c>
      <c r="D35" s="12" t="n">
        <v>250</v>
      </c>
      <c r="E35" s="12" t="n">
        <v>9</v>
      </c>
      <c r="F35" s="12" t="n">
        <v>42</v>
      </c>
      <c r="G35" s="12" t="n">
        <v>4</v>
      </c>
      <c r="H35" s="13" t="n">
        <f aca="false">B35*D35/100</f>
        <v>400</v>
      </c>
      <c r="I35" s="13" t="n">
        <f aca="false">B35*E35/100</f>
        <v>14.4</v>
      </c>
      <c r="J35" s="13" t="n">
        <f aca="false">B35*F35/100</f>
        <v>67.2</v>
      </c>
      <c r="K35" s="13" t="n">
        <f aca="false">B35*G35/100</f>
        <v>6.4</v>
      </c>
    </row>
    <row r="36" customFormat="false" ht="15" hidden="false" customHeight="false" outlineLevel="0" collapsed="false">
      <c r="A36" s="5" t="s">
        <v>143</v>
      </c>
      <c r="B36" s="12" t="n">
        <v>60</v>
      </c>
      <c r="C36" s="4" t="s">
        <v>69</v>
      </c>
      <c r="D36" s="12" t="n">
        <v>165</v>
      </c>
      <c r="E36" s="12" t="n">
        <v>2.5</v>
      </c>
      <c r="F36" s="12" t="n">
        <v>4</v>
      </c>
      <c r="G36" s="12" t="n">
        <v>15</v>
      </c>
      <c r="H36" s="13" t="n">
        <f aca="false">B36*D36/100</f>
        <v>99</v>
      </c>
      <c r="I36" s="13" t="n">
        <f aca="false">B36*E36/100</f>
        <v>1.5</v>
      </c>
      <c r="J36" s="13" t="n">
        <f aca="false">B36*F36/100</f>
        <v>2.4</v>
      </c>
      <c r="K36" s="13" t="n">
        <f aca="false">B36*G36/100</f>
        <v>9</v>
      </c>
    </row>
    <row r="37" customFormat="false" ht="15" hidden="false" customHeight="false" outlineLevel="0" collapsed="false">
      <c r="A37" s="5" t="s">
        <v>146</v>
      </c>
      <c r="B37" s="12" t="n">
        <v>50</v>
      </c>
      <c r="C37" s="4" t="s">
        <v>69</v>
      </c>
      <c r="D37" s="12" t="n">
        <v>380</v>
      </c>
      <c r="E37" s="12" t="n">
        <v>28</v>
      </c>
      <c r="F37" s="12" t="n">
        <v>0.5</v>
      </c>
      <c r="G37" s="12" t="n">
        <v>30</v>
      </c>
      <c r="H37" s="13" t="n">
        <f aca="false">B37*D37/100</f>
        <v>190</v>
      </c>
      <c r="I37" s="13" t="n">
        <f aca="false">B37*E37/100</f>
        <v>14</v>
      </c>
      <c r="J37" s="13" t="n">
        <f aca="false">B37*F37/100</f>
        <v>0.25</v>
      </c>
      <c r="K37" s="13" t="n">
        <f aca="false">B37*G37/100</f>
        <v>15</v>
      </c>
    </row>
    <row r="38" customFormat="false" ht="15" hidden="false" customHeight="false" outlineLevel="0" collapsed="false">
      <c r="A38" s="5" t="s">
        <v>148</v>
      </c>
      <c r="B38" s="12" t="n">
        <v>70</v>
      </c>
      <c r="C38" s="4" t="s">
        <v>69</v>
      </c>
      <c r="D38" s="12" t="n">
        <v>110</v>
      </c>
      <c r="E38" s="12" t="n">
        <v>20</v>
      </c>
      <c r="F38" s="12" t="n">
        <v>1</v>
      </c>
      <c r="G38" s="12" t="n">
        <v>3</v>
      </c>
      <c r="H38" s="13" t="n">
        <f aca="false">B38*D38/100</f>
        <v>77</v>
      </c>
      <c r="I38" s="13" t="n">
        <f aca="false">B38*E38/100</f>
        <v>14</v>
      </c>
      <c r="J38" s="13" t="n">
        <f aca="false">B38*F38/100</f>
        <v>0.7</v>
      </c>
      <c r="K38" s="13" t="n">
        <f aca="false">B38*G38/100</f>
        <v>2.1</v>
      </c>
    </row>
    <row r="39" customFormat="false" ht="15" hidden="false" customHeight="false" outlineLevel="0" collapsed="false">
      <c r="A39" s="5" t="s">
        <v>95</v>
      </c>
      <c r="B39" s="12" t="n">
        <v>0.5</v>
      </c>
      <c r="C39" s="4" t="s">
        <v>69</v>
      </c>
      <c r="D39" s="12" t="n">
        <v>0</v>
      </c>
      <c r="E39" s="12" t="n">
        <v>0</v>
      </c>
      <c r="F39" s="12" t="n">
        <v>0</v>
      </c>
      <c r="G39" s="12" t="n">
        <v>0</v>
      </c>
      <c r="H39" s="13" t="n">
        <f aca="false">B39*D39/100</f>
        <v>0</v>
      </c>
      <c r="I39" s="13" t="n">
        <f aca="false">B39*E39/100</f>
        <v>0</v>
      </c>
      <c r="J39" s="13" t="n">
        <f aca="false">B39*F39/100</f>
        <v>0</v>
      </c>
      <c r="K39" s="13" t="n">
        <f aca="false">B39*G39/100</f>
        <v>0</v>
      </c>
    </row>
    <row r="40" customFormat="false" ht="15" hidden="false" customHeight="false" outlineLevel="0" collapsed="false">
      <c r="A40" s="5" t="s">
        <v>98</v>
      </c>
      <c r="B40" s="12" t="n">
        <v>0.5</v>
      </c>
      <c r="C40" s="4" t="s">
        <v>69</v>
      </c>
      <c r="D40" s="12" t="n">
        <v>0</v>
      </c>
      <c r="E40" s="12" t="n">
        <v>0</v>
      </c>
      <c r="F40" s="12" t="n">
        <v>0</v>
      </c>
      <c r="G40" s="12" t="n">
        <v>0</v>
      </c>
      <c r="H40" s="13" t="n">
        <f aca="false">B40*D40/100</f>
        <v>0</v>
      </c>
      <c r="I40" s="13" t="n">
        <f aca="false">B40*E40/100</f>
        <v>0</v>
      </c>
      <c r="J40" s="13" t="n">
        <f aca="false">B40*F40/100</f>
        <v>0</v>
      </c>
      <c r="K40" s="13" t="n">
        <f aca="false">B40*G40/100</f>
        <v>0</v>
      </c>
    </row>
    <row r="41" customFormat="false" ht="15" hidden="false" customHeight="false" outlineLevel="0" collapsed="false">
      <c r="A41" s="9" t="s">
        <v>637</v>
      </c>
      <c r="H41" s="14" t="n">
        <f aca="false">SUM(H35:H40)</f>
        <v>766</v>
      </c>
      <c r="I41" s="14" t="n">
        <f aca="false">SUM(I35:I40)</f>
        <v>43.9</v>
      </c>
      <c r="J41" s="14" t="n">
        <f aca="false">SUM(J35:J40)</f>
        <v>70.55</v>
      </c>
      <c r="K41" s="14" t="n">
        <f aca="false">SUM(K35:K40)</f>
        <v>32.5</v>
      </c>
      <c r="L41" s="9" t="str">
        <f aca="false">IF(H41&gt;=700,"≥ 700 kcal OK","&lt; 700 kcal")</f>
        <v>≥ 700 kcal OK</v>
      </c>
    </row>
    <row r="42" customFormat="false" ht="15" hidden="false" customHeight="false" outlineLevel="0" collapsed="false">
      <c r="A42" s="9" t="s">
        <v>638</v>
      </c>
      <c r="H42" s="7" t="n">
        <f aca="false">H41*2</f>
        <v>1532</v>
      </c>
      <c r="I42" s="7" t="n">
        <f aca="false">I41*2</f>
        <v>87.8</v>
      </c>
      <c r="J42" s="7" t="n">
        <f aca="false">J41*2</f>
        <v>141.1</v>
      </c>
      <c r="K42" s="7" t="n">
        <f aca="false">K41*2</f>
        <v>65</v>
      </c>
    </row>
    <row r="43" customFormat="false" ht="15" hidden="false" customHeight="false" outlineLevel="0" collapsed="false">
      <c r="A43" s="4" t="s">
        <v>639</v>
      </c>
      <c r="I43" s="15" t="n">
        <f aca="false">I41*4/H41</f>
        <v>0.229242819843342</v>
      </c>
      <c r="J43" s="15" t="n">
        <f aca="false">J41*4/H41</f>
        <v>0.368407310704961</v>
      </c>
      <c r="K43" s="15" t="n">
        <f aca="false">K41*9/H41</f>
        <v>0.381853785900783</v>
      </c>
    </row>
    <row r="45" customFormat="false" ht="16.15" hidden="false" customHeight="false" outlineLevel="0" collapsed="false">
      <c r="A45" s="1" t="s">
        <v>156</v>
      </c>
    </row>
    <row r="46" customFormat="false" ht="26.85" hidden="false" customHeight="false" outlineLevel="0" collapsed="false">
      <c r="A46" s="3" t="s">
        <v>626</v>
      </c>
      <c r="B46" s="3" t="s">
        <v>627</v>
      </c>
      <c r="C46" s="3" t="s">
        <v>64</v>
      </c>
      <c r="D46" s="3" t="s">
        <v>628</v>
      </c>
      <c r="E46" s="3" t="s">
        <v>629</v>
      </c>
      <c r="F46" s="3" t="s">
        <v>630</v>
      </c>
      <c r="G46" s="3" t="s">
        <v>631</v>
      </c>
      <c r="H46" s="3" t="s">
        <v>632</v>
      </c>
      <c r="I46" s="3" t="s">
        <v>633</v>
      </c>
      <c r="J46" s="3" t="s">
        <v>634</v>
      </c>
      <c r="K46" s="3" t="s">
        <v>635</v>
      </c>
      <c r="L46" s="3" t="s">
        <v>636</v>
      </c>
    </row>
    <row r="47" customFormat="false" ht="15" hidden="false" customHeight="false" outlineLevel="0" collapsed="false">
      <c r="A47" s="5" t="s">
        <v>161</v>
      </c>
      <c r="B47" s="12" t="n">
        <v>150</v>
      </c>
      <c r="C47" s="4" t="s">
        <v>69</v>
      </c>
      <c r="D47" s="12" t="n">
        <v>200</v>
      </c>
      <c r="E47" s="12" t="n">
        <v>18</v>
      </c>
      <c r="F47" s="12" t="n">
        <v>2</v>
      </c>
      <c r="G47" s="12" t="n">
        <v>14</v>
      </c>
      <c r="H47" s="13" t="n">
        <f aca="false">B47*D47/100</f>
        <v>300</v>
      </c>
      <c r="I47" s="13" t="n">
        <f aca="false">B47*E47/100</f>
        <v>27</v>
      </c>
      <c r="J47" s="13" t="n">
        <f aca="false">B47*F47/100</f>
        <v>3</v>
      </c>
      <c r="K47" s="13" t="n">
        <f aca="false">B47*G47/100</f>
        <v>21</v>
      </c>
    </row>
    <row r="48" customFormat="false" ht="15" hidden="false" customHeight="false" outlineLevel="0" collapsed="false">
      <c r="A48" s="5" t="s">
        <v>117</v>
      </c>
      <c r="B48" s="12" t="n">
        <v>70</v>
      </c>
      <c r="C48" s="4" t="s">
        <v>69</v>
      </c>
      <c r="D48" s="12" t="n">
        <v>40</v>
      </c>
      <c r="E48" s="12" t="n">
        <v>1</v>
      </c>
      <c r="F48" s="12" t="n">
        <v>8</v>
      </c>
      <c r="G48" s="12" t="n">
        <v>0</v>
      </c>
      <c r="H48" s="13" t="n">
        <f aca="false">B48*D48/100</f>
        <v>28</v>
      </c>
      <c r="I48" s="13" t="n">
        <f aca="false">B48*E48/100</f>
        <v>0.7</v>
      </c>
      <c r="J48" s="13" t="n">
        <f aca="false">B48*F48/100</f>
        <v>5.6</v>
      </c>
      <c r="K48" s="13" t="n">
        <f aca="false">B48*G48/100</f>
        <v>0</v>
      </c>
    </row>
    <row r="49" customFormat="false" ht="15" hidden="false" customHeight="false" outlineLevel="0" collapsed="false">
      <c r="A49" s="5" t="s">
        <v>165</v>
      </c>
      <c r="B49" s="12" t="n">
        <v>40</v>
      </c>
      <c r="C49" s="4" t="s">
        <v>69</v>
      </c>
      <c r="D49" s="12" t="n">
        <v>22</v>
      </c>
      <c r="E49" s="12" t="n">
        <v>1</v>
      </c>
      <c r="F49" s="12" t="n">
        <v>4</v>
      </c>
      <c r="G49" s="12" t="n">
        <v>0.2</v>
      </c>
      <c r="H49" s="13" t="n">
        <f aca="false">B49*D49/100</f>
        <v>8.8</v>
      </c>
      <c r="I49" s="13" t="n">
        <f aca="false">B49*E49/100</f>
        <v>0.4</v>
      </c>
      <c r="J49" s="13" t="n">
        <f aca="false">B49*F49/100</f>
        <v>1.6</v>
      </c>
      <c r="K49" s="13" t="n">
        <f aca="false">B49*G49/100</f>
        <v>0.08</v>
      </c>
    </row>
    <row r="50" customFormat="false" ht="15" hidden="false" customHeight="false" outlineLevel="0" collapsed="false">
      <c r="A50" s="5" t="s">
        <v>168</v>
      </c>
      <c r="B50" s="12" t="n">
        <v>10</v>
      </c>
      <c r="C50" s="4" t="s">
        <v>74</v>
      </c>
      <c r="D50" s="12" t="n">
        <v>900</v>
      </c>
      <c r="E50" s="12" t="n">
        <v>0</v>
      </c>
      <c r="F50" s="12" t="n">
        <v>0</v>
      </c>
      <c r="G50" s="12" t="n">
        <v>100</v>
      </c>
      <c r="H50" s="13" t="n">
        <f aca="false">B50*D50/100</f>
        <v>90</v>
      </c>
      <c r="I50" s="13" t="n">
        <f aca="false">B50*E50/100</f>
        <v>0</v>
      </c>
      <c r="J50" s="13" t="n">
        <f aca="false">B50*F50/100</f>
        <v>0</v>
      </c>
      <c r="K50" s="13" t="n">
        <f aca="false">B50*G50/100</f>
        <v>10</v>
      </c>
    </row>
    <row r="51" customFormat="false" ht="15" hidden="false" customHeight="false" outlineLevel="0" collapsed="false">
      <c r="A51" s="5" t="s">
        <v>170</v>
      </c>
      <c r="B51" s="12" t="n">
        <v>60</v>
      </c>
      <c r="C51" s="4" t="s">
        <v>69</v>
      </c>
      <c r="D51" s="12" t="n">
        <v>350</v>
      </c>
      <c r="E51" s="12" t="n">
        <v>8</v>
      </c>
      <c r="F51" s="12" t="n">
        <v>78</v>
      </c>
      <c r="G51" s="12" t="n">
        <v>1</v>
      </c>
      <c r="H51" s="13" t="n">
        <f aca="false">B51*D51/100</f>
        <v>210</v>
      </c>
      <c r="I51" s="13" t="n">
        <f aca="false">B51*E51/100</f>
        <v>4.8</v>
      </c>
      <c r="J51" s="13" t="n">
        <f aca="false">B51*F51/100</f>
        <v>46.8</v>
      </c>
      <c r="K51" s="13" t="n">
        <f aca="false">B51*G51/100</f>
        <v>0.6</v>
      </c>
    </row>
    <row r="52" customFormat="false" ht="15" hidden="false" customHeight="false" outlineLevel="0" collapsed="false">
      <c r="A52" s="5" t="s">
        <v>173</v>
      </c>
      <c r="B52" s="12" t="n">
        <v>100</v>
      </c>
      <c r="C52" s="4" t="s">
        <v>74</v>
      </c>
      <c r="D52" s="12" t="n">
        <v>0</v>
      </c>
      <c r="E52" s="12" t="n">
        <v>0</v>
      </c>
      <c r="F52" s="12" t="n">
        <v>0</v>
      </c>
      <c r="G52" s="12" t="n">
        <v>0</v>
      </c>
      <c r="H52" s="13" t="n">
        <f aca="false">B52*D52/100</f>
        <v>0</v>
      </c>
      <c r="I52" s="13" t="n">
        <f aca="false">B52*E52/100</f>
        <v>0</v>
      </c>
      <c r="J52" s="13" t="n">
        <f aca="false">B52*F52/100</f>
        <v>0</v>
      </c>
      <c r="K52" s="13" t="n">
        <f aca="false">B52*G52/100</f>
        <v>0</v>
      </c>
    </row>
    <row r="53" customFormat="false" ht="15" hidden="false" customHeight="false" outlineLevel="0" collapsed="false">
      <c r="A53" s="5" t="s">
        <v>174</v>
      </c>
      <c r="B53" s="12" t="n">
        <v>200</v>
      </c>
      <c r="C53" s="4" t="s">
        <v>74</v>
      </c>
      <c r="D53" s="12" t="n">
        <v>0</v>
      </c>
      <c r="E53" s="12" t="n">
        <v>0</v>
      </c>
      <c r="F53" s="12" t="n">
        <v>0</v>
      </c>
      <c r="G53" s="12" t="n">
        <v>0</v>
      </c>
      <c r="H53" s="13" t="n">
        <f aca="false">B53*D53/100</f>
        <v>0</v>
      </c>
      <c r="I53" s="13" t="n">
        <f aca="false">B53*E53/100</f>
        <v>0</v>
      </c>
      <c r="J53" s="13" t="n">
        <f aca="false">B53*F53/100</f>
        <v>0</v>
      </c>
      <c r="K53" s="13" t="n">
        <f aca="false">B53*G53/100</f>
        <v>0</v>
      </c>
    </row>
    <row r="54" customFormat="false" ht="15" hidden="false" customHeight="false" outlineLevel="0" collapsed="false">
      <c r="A54" s="5" t="s">
        <v>176</v>
      </c>
      <c r="B54" s="12" t="n">
        <v>25</v>
      </c>
      <c r="C54" s="4" t="s">
        <v>69</v>
      </c>
      <c r="D54" s="12" t="n">
        <v>380</v>
      </c>
      <c r="E54" s="12" t="n">
        <v>28</v>
      </c>
      <c r="F54" s="12" t="n">
        <v>0.5</v>
      </c>
      <c r="G54" s="12" t="n">
        <v>30</v>
      </c>
      <c r="H54" s="13" t="n">
        <f aca="false">B54*D54/100</f>
        <v>95</v>
      </c>
      <c r="I54" s="13" t="n">
        <f aca="false">B54*E54/100</f>
        <v>7</v>
      </c>
      <c r="J54" s="13" t="n">
        <f aca="false">B54*F54/100</f>
        <v>0.125</v>
      </c>
      <c r="K54" s="13" t="n">
        <f aca="false">B54*G54/100</f>
        <v>7.5</v>
      </c>
    </row>
    <row r="55" customFormat="false" ht="15" hidden="false" customHeight="false" outlineLevel="0" collapsed="false">
      <c r="A55" s="5" t="s">
        <v>177</v>
      </c>
      <c r="B55" s="12" t="n">
        <v>2</v>
      </c>
      <c r="C55" s="4" t="s">
        <v>69</v>
      </c>
      <c r="D55" s="12" t="n">
        <v>280</v>
      </c>
      <c r="E55" s="12" t="n">
        <v>20</v>
      </c>
      <c r="F55" s="12" t="n">
        <v>40</v>
      </c>
      <c r="G55" s="12" t="n">
        <v>5</v>
      </c>
      <c r="H55" s="13" t="n">
        <f aca="false">B55*D55/100</f>
        <v>5.6</v>
      </c>
      <c r="I55" s="13" t="n">
        <f aca="false">B55*E55/100</f>
        <v>0.4</v>
      </c>
      <c r="J55" s="13" t="n">
        <f aca="false">B55*F55/100</f>
        <v>0.8</v>
      </c>
      <c r="K55" s="13" t="n">
        <f aca="false">B55*G55/100</f>
        <v>0.1</v>
      </c>
    </row>
    <row r="56" customFormat="false" ht="15" hidden="false" customHeight="false" outlineLevel="0" collapsed="false">
      <c r="A56" s="5" t="s">
        <v>95</v>
      </c>
      <c r="B56" s="12" t="n">
        <v>1</v>
      </c>
      <c r="C56" s="4" t="s">
        <v>69</v>
      </c>
      <c r="D56" s="12" t="n">
        <v>0</v>
      </c>
      <c r="E56" s="12" t="n">
        <v>0</v>
      </c>
      <c r="F56" s="12" t="n">
        <v>0</v>
      </c>
      <c r="G56" s="12" t="n">
        <v>0</v>
      </c>
      <c r="H56" s="13" t="n">
        <f aca="false">B56*D56/100</f>
        <v>0</v>
      </c>
      <c r="I56" s="13" t="n">
        <f aca="false">B56*E56/100</f>
        <v>0</v>
      </c>
      <c r="J56" s="13" t="n">
        <f aca="false">B56*F56/100</f>
        <v>0</v>
      </c>
      <c r="K56" s="13" t="n">
        <f aca="false">B56*G56/100</f>
        <v>0</v>
      </c>
    </row>
    <row r="57" customFormat="false" ht="15" hidden="false" customHeight="false" outlineLevel="0" collapsed="false">
      <c r="A57" s="5" t="s">
        <v>98</v>
      </c>
      <c r="B57" s="12" t="n">
        <v>0.5</v>
      </c>
      <c r="C57" s="4" t="s">
        <v>69</v>
      </c>
      <c r="D57" s="12" t="n">
        <v>0</v>
      </c>
      <c r="E57" s="12" t="n">
        <v>0</v>
      </c>
      <c r="F57" s="12" t="n">
        <v>0</v>
      </c>
      <c r="G57" s="12" t="n">
        <v>0</v>
      </c>
      <c r="H57" s="13" t="n">
        <f aca="false">B57*D57/100</f>
        <v>0</v>
      </c>
      <c r="I57" s="13" t="n">
        <f aca="false">B57*E57/100</f>
        <v>0</v>
      </c>
      <c r="J57" s="13" t="n">
        <f aca="false">B57*F57/100</f>
        <v>0</v>
      </c>
      <c r="K57" s="13" t="n">
        <f aca="false">B57*G57/100</f>
        <v>0</v>
      </c>
    </row>
    <row r="58" customFormat="false" ht="15" hidden="false" customHeight="false" outlineLevel="0" collapsed="false">
      <c r="A58" s="9" t="s">
        <v>637</v>
      </c>
      <c r="H58" s="14" t="n">
        <f aca="false">SUM(H47:H57)</f>
        <v>737.4</v>
      </c>
      <c r="I58" s="14" t="n">
        <f aca="false">SUM(I47:I57)</f>
        <v>40.3</v>
      </c>
      <c r="J58" s="14" t="n">
        <f aca="false">SUM(J47:J57)</f>
        <v>57.925</v>
      </c>
      <c r="K58" s="14" t="n">
        <f aca="false">SUM(K47:K57)</f>
        <v>39.28</v>
      </c>
      <c r="L58" s="9" t="str">
        <f aca="false">IF(H58&gt;=700,"≥ 700 kcal OK","&lt; 700 kcal")</f>
        <v>≥ 700 kcal OK</v>
      </c>
    </row>
    <row r="59" customFormat="false" ht="15" hidden="false" customHeight="false" outlineLevel="0" collapsed="false">
      <c r="A59" s="9" t="s">
        <v>638</v>
      </c>
      <c r="H59" s="7" t="n">
        <f aca="false">H58*2</f>
        <v>1474.8</v>
      </c>
      <c r="I59" s="7" t="n">
        <f aca="false">I58*2</f>
        <v>80.6</v>
      </c>
      <c r="J59" s="7" t="n">
        <f aca="false">J58*2</f>
        <v>115.85</v>
      </c>
      <c r="K59" s="7" t="n">
        <f aca="false">K58*2</f>
        <v>78.56</v>
      </c>
    </row>
    <row r="60" customFormat="false" ht="15" hidden="false" customHeight="false" outlineLevel="0" collapsed="false">
      <c r="A60" s="4" t="s">
        <v>639</v>
      </c>
      <c r="I60" s="15" t="n">
        <f aca="false">I58*4/H58</f>
        <v>0.218605912666124</v>
      </c>
      <c r="J60" s="15" t="n">
        <f aca="false">J58*4/H58</f>
        <v>0.314212096555465</v>
      </c>
      <c r="K60" s="15" t="n">
        <f aca="false">K58*9/H58</f>
        <v>0.479414157851912</v>
      </c>
    </row>
    <row r="62" customFormat="false" ht="16.15" hidden="false" customHeight="false" outlineLevel="0" collapsed="false">
      <c r="A62" s="1" t="s">
        <v>187</v>
      </c>
    </row>
    <row r="63" customFormat="false" ht="26.85" hidden="false" customHeight="false" outlineLevel="0" collapsed="false">
      <c r="A63" s="3" t="s">
        <v>626</v>
      </c>
      <c r="B63" s="3" t="s">
        <v>627</v>
      </c>
      <c r="C63" s="3" t="s">
        <v>64</v>
      </c>
      <c r="D63" s="3" t="s">
        <v>628</v>
      </c>
      <c r="E63" s="3" t="s">
        <v>629</v>
      </c>
      <c r="F63" s="3" t="s">
        <v>630</v>
      </c>
      <c r="G63" s="3" t="s">
        <v>631</v>
      </c>
      <c r="H63" s="3" t="s">
        <v>632</v>
      </c>
      <c r="I63" s="3" t="s">
        <v>633</v>
      </c>
      <c r="J63" s="3" t="s">
        <v>634</v>
      </c>
      <c r="K63" s="3" t="s">
        <v>635</v>
      </c>
      <c r="L63" s="3" t="s">
        <v>636</v>
      </c>
    </row>
    <row r="64" customFormat="false" ht="15" hidden="false" customHeight="false" outlineLevel="0" collapsed="false">
      <c r="A64" s="5" t="s">
        <v>190</v>
      </c>
      <c r="B64" s="12" t="n">
        <v>125</v>
      </c>
      <c r="C64" s="4" t="s">
        <v>69</v>
      </c>
      <c r="D64" s="12" t="n">
        <v>355</v>
      </c>
      <c r="E64" s="12" t="n">
        <v>12</v>
      </c>
      <c r="F64" s="12" t="n">
        <v>72</v>
      </c>
      <c r="G64" s="12" t="n">
        <v>1.5</v>
      </c>
      <c r="H64" s="13" t="n">
        <f aca="false">B64*D64/100</f>
        <v>443.75</v>
      </c>
      <c r="I64" s="13" t="n">
        <f aca="false">B64*E64/100</f>
        <v>15</v>
      </c>
      <c r="J64" s="13" t="n">
        <f aca="false">B64*F64/100</f>
        <v>90</v>
      </c>
      <c r="K64" s="13" t="n">
        <f aca="false">B64*G64/100</f>
        <v>1.875</v>
      </c>
    </row>
    <row r="65" customFormat="false" ht="15" hidden="false" customHeight="false" outlineLevel="0" collapsed="false">
      <c r="A65" s="5" t="s">
        <v>192</v>
      </c>
      <c r="B65" s="12" t="n">
        <v>125</v>
      </c>
      <c r="C65" s="4" t="s">
        <v>74</v>
      </c>
      <c r="D65" s="12" t="n">
        <v>165</v>
      </c>
      <c r="E65" s="12" t="n">
        <v>2.5</v>
      </c>
      <c r="F65" s="12" t="n">
        <v>4</v>
      </c>
      <c r="G65" s="12" t="n">
        <v>15</v>
      </c>
      <c r="H65" s="13" t="n">
        <f aca="false">B65*D65/100</f>
        <v>206.25</v>
      </c>
      <c r="I65" s="13" t="n">
        <f aca="false">B65*E65/100</f>
        <v>3.125</v>
      </c>
      <c r="J65" s="13" t="n">
        <f aca="false">B65*F65/100</f>
        <v>5</v>
      </c>
      <c r="K65" s="13" t="n">
        <f aca="false">B65*G65/100</f>
        <v>18.75</v>
      </c>
    </row>
    <row r="66" customFormat="false" ht="15" hidden="false" customHeight="false" outlineLevel="0" collapsed="false">
      <c r="A66" s="5" t="s">
        <v>194</v>
      </c>
      <c r="B66" s="12" t="n">
        <v>18</v>
      </c>
      <c r="C66" s="4" t="s">
        <v>69</v>
      </c>
      <c r="D66" s="12" t="n">
        <v>145</v>
      </c>
      <c r="E66" s="12" t="n">
        <v>12.5</v>
      </c>
      <c r="F66" s="12" t="n">
        <v>1</v>
      </c>
      <c r="G66" s="12" t="n">
        <v>10</v>
      </c>
      <c r="H66" s="13" t="n">
        <f aca="false">B66*D66/100</f>
        <v>26.1</v>
      </c>
      <c r="I66" s="13" t="n">
        <f aca="false">B66*E66/100</f>
        <v>2.25</v>
      </c>
      <c r="J66" s="13" t="n">
        <f aca="false">B66*F66/100</f>
        <v>0.18</v>
      </c>
      <c r="K66" s="13" t="n">
        <f aca="false">B66*G66/100</f>
        <v>1.8</v>
      </c>
    </row>
    <row r="67" customFormat="false" ht="15" hidden="false" customHeight="false" outlineLevel="0" collapsed="false">
      <c r="A67" s="5" t="s">
        <v>120</v>
      </c>
      <c r="B67" s="12" t="n">
        <v>60</v>
      </c>
      <c r="C67" s="4" t="s">
        <v>69</v>
      </c>
      <c r="D67" s="12" t="n">
        <v>300</v>
      </c>
      <c r="E67" s="12" t="n">
        <v>15</v>
      </c>
      <c r="F67" s="12" t="n">
        <v>1</v>
      </c>
      <c r="G67" s="12" t="n">
        <v>27</v>
      </c>
      <c r="H67" s="13" t="n">
        <f aca="false">B67*D67/100</f>
        <v>180</v>
      </c>
      <c r="I67" s="13" t="n">
        <f aca="false">B67*E67/100</f>
        <v>9</v>
      </c>
      <c r="J67" s="13" t="n">
        <f aca="false">B67*F67/100</f>
        <v>0.6</v>
      </c>
      <c r="K67" s="13" t="n">
        <f aca="false">B67*G67/100</f>
        <v>16.2</v>
      </c>
    </row>
    <row r="68" customFormat="false" ht="15" hidden="false" customHeight="false" outlineLevel="0" collapsed="false">
      <c r="A68" s="5" t="s">
        <v>117</v>
      </c>
      <c r="B68" s="12" t="n">
        <v>50</v>
      </c>
      <c r="C68" s="4" t="s">
        <v>69</v>
      </c>
      <c r="D68" s="12" t="n">
        <v>40</v>
      </c>
      <c r="E68" s="12" t="n">
        <v>1</v>
      </c>
      <c r="F68" s="12" t="n">
        <v>8</v>
      </c>
      <c r="G68" s="12" t="n">
        <v>0</v>
      </c>
      <c r="H68" s="13" t="n">
        <f aca="false">B68*D68/100</f>
        <v>20</v>
      </c>
      <c r="I68" s="13" t="n">
        <f aca="false">B68*E68/100</f>
        <v>0.5</v>
      </c>
      <c r="J68" s="13" t="n">
        <f aca="false">B68*F68/100</f>
        <v>4</v>
      </c>
      <c r="K68" s="13" t="n">
        <f aca="false">B68*G68/100</f>
        <v>0</v>
      </c>
    </row>
    <row r="69" customFormat="false" ht="15" hidden="false" customHeight="false" outlineLevel="0" collapsed="false">
      <c r="A69" s="5" t="s">
        <v>95</v>
      </c>
      <c r="B69" s="12" t="n">
        <v>1</v>
      </c>
      <c r="C69" s="4" t="s">
        <v>69</v>
      </c>
      <c r="D69" s="12" t="n">
        <v>0</v>
      </c>
      <c r="E69" s="12" t="n">
        <v>0</v>
      </c>
      <c r="F69" s="12" t="n">
        <v>0</v>
      </c>
      <c r="G69" s="12" t="n">
        <v>0</v>
      </c>
      <c r="H69" s="13" t="n">
        <f aca="false">B69*D69/100</f>
        <v>0</v>
      </c>
      <c r="I69" s="13" t="n">
        <f aca="false">B69*E69/100</f>
        <v>0</v>
      </c>
      <c r="J69" s="13" t="n">
        <f aca="false">B69*F69/100</f>
        <v>0</v>
      </c>
      <c r="K69" s="13" t="n">
        <f aca="false">B69*G69/100</f>
        <v>0</v>
      </c>
    </row>
    <row r="70" customFormat="false" ht="15" hidden="false" customHeight="false" outlineLevel="0" collapsed="false">
      <c r="A70" s="5" t="s">
        <v>98</v>
      </c>
      <c r="B70" s="12" t="n">
        <v>1</v>
      </c>
      <c r="C70" s="4" t="s">
        <v>69</v>
      </c>
      <c r="D70" s="12" t="n">
        <v>0</v>
      </c>
      <c r="E70" s="12" t="n">
        <v>0</v>
      </c>
      <c r="F70" s="12" t="n">
        <v>0</v>
      </c>
      <c r="G70" s="12" t="n">
        <v>0</v>
      </c>
      <c r="H70" s="13" t="n">
        <f aca="false">B70*D70/100</f>
        <v>0</v>
      </c>
      <c r="I70" s="13" t="n">
        <f aca="false">B70*E70/100</f>
        <v>0</v>
      </c>
      <c r="J70" s="13" t="n">
        <f aca="false">B70*F70/100</f>
        <v>0</v>
      </c>
      <c r="K70" s="13" t="n">
        <f aca="false">B70*G70/100</f>
        <v>0</v>
      </c>
    </row>
    <row r="71" customFormat="false" ht="15" hidden="false" customHeight="false" outlineLevel="0" collapsed="false">
      <c r="A71" s="9" t="s">
        <v>637</v>
      </c>
      <c r="H71" s="14" t="n">
        <f aca="false">SUM(H64:H70)</f>
        <v>876.1</v>
      </c>
      <c r="I71" s="14" t="n">
        <f aca="false">SUM(I64:I70)</f>
        <v>29.875</v>
      </c>
      <c r="J71" s="14" t="n">
        <f aca="false">SUM(J64:J70)</f>
        <v>99.78</v>
      </c>
      <c r="K71" s="14" t="n">
        <f aca="false">SUM(K64:K70)</f>
        <v>38.625</v>
      </c>
      <c r="L71" s="9" t="str">
        <f aca="false">IF(H71&gt;=700,"≥ 700 kcal OK","&lt; 700 kcal")</f>
        <v>≥ 700 kcal OK</v>
      </c>
    </row>
    <row r="72" customFormat="false" ht="15" hidden="false" customHeight="false" outlineLevel="0" collapsed="false">
      <c r="A72" s="9" t="s">
        <v>638</v>
      </c>
      <c r="H72" s="7" t="n">
        <f aca="false">H71*2</f>
        <v>1752.2</v>
      </c>
      <c r="I72" s="7" t="n">
        <f aca="false">I71*2</f>
        <v>59.75</v>
      </c>
      <c r="J72" s="7" t="n">
        <f aca="false">J71*2</f>
        <v>199.56</v>
      </c>
      <c r="K72" s="7" t="n">
        <f aca="false">K71*2</f>
        <v>77.25</v>
      </c>
    </row>
    <row r="73" customFormat="false" ht="15" hidden="false" customHeight="false" outlineLevel="0" collapsed="false">
      <c r="A73" s="4" t="s">
        <v>639</v>
      </c>
      <c r="I73" s="15" t="n">
        <f aca="false">I71*4/H71</f>
        <v>0.136399954343112</v>
      </c>
      <c r="J73" s="15" t="n">
        <f aca="false">J71*4/H71</f>
        <v>0.455564433283872</v>
      </c>
      <c r="K73" s="15" t="n">
        <f aca="false">K71*9/H71</f>
        <v>0.396786896473005</v>
      </c>
    </row>
    <row r="75" customFormat="false" ht="16.15" hidden="false" customHeight="false" outlineLevel="0" collapsed="false">
      <c r="A75" s="1" t="s">
        <v>205</v>
      </c>
    </row>
    <row r="76" customFormat="false" ht="26.85" hidden="false" customHeight="false" outlineLevel="0" collapsed="false">
      <c r="A76" s="3" t="s">
        <v>626</v>
      </c>
      <c r="B76" s="3" t="s">
        <v>627</v>
      </c>
      <c r="C76" s="3" t="s">
        <v>64</v>
      </c>
      <c r="D76" s="3" t="s">
        <v>628</v>
      </c>
      <c r="E76" s="3" t="s">
        <v>629</v>
      </c>
      <c r="F76" s="3" t="s">
        <v>630</v>
      </c>
      <c r="G76" s="3" t="s">
        <v>631</v>
      </c>
      <c r="H76" s="3" t="s">
        <v>632</v>
      </c>
      <c r="I76" s="3" t="s">
        <v>633</v>
      </c>
      <c r="J76" s="3" t="s">
        <v>634</v>
      </c>
      <c r="K76" s="3" t="s">
        <v>635</v>
      </c>
      <c r="L76" s="3" t="s">
        <v>636</v>
      </c>
    </row>
    <row r="77" customFormat="false" ht="15" hidden="false" customHeight="false" outlineLevel="0" collapsed="false">
      <c r="A77" s="5" t="s">
        <v>209</v>
      </c>
      <c r="B77" s="12" t="n">
        <v>150</v>
      </c>
      <c r="C77" s="4" t="s">
        <v>69</v>
      </c>
      <c r="D77" s="12" t="n">
        <v>110</v>
      </c>
      <c r="E77" s="12" t="n">
        <v>23</v>
      </c>
      <c r="F77" s="12" t="n">
        <v>0</v>
      </c>
      <c r="G77" s="12" t="n">
        <v>2</v>
      </c>
      <c r="H77" s="13" t="n">
        <f aca="false">B77*D77/100</f>
        <v>165</v>
      </c>
      <c r="I77" s="13" t="n">
        <f aca="false">B77*E77/100</f>
        <v>34.5</v>
      </c>
      <c r="J77" s="13" t="n">
        <f aca="false">B77*F77/100</f>
        <v>0</v>
      </c>
      <c r="K77" s="13" t="n">
        <f aca="false">B77*G77/100</f>
        <v>3</v>
      </c>
    </row>
    <row r="78" customFormat="false" ht="15" hidden="false" customHeight="false" outlineLevel="0" collapsed="false">
      <c r="A78" s="5" t="s">
        <v>117</v>
      </c>
      <c r="B78" s="12" t="n">
        <v>30</v>
      </c>
      <c r="C78" s="4" t="s">
        <v>69</v>
      </c>
      <c r="D78" s="12" t="n">
        <v>40</v>
      </c>
      <c r="E78" s="12" t="n">
        <v>1</v>
      </c>
      <c r="F78" s="12" t="n">
        <v>8</v>
      </c>
      <c r="G78" s="12" t="n">
        <v>0</v>
      </c>
      <c r="H78" s="13" t="n">
        <f aca="false">B78*D78/100</f>
        <v>12</v>
      </c>
      <c r="I78" s="13" t="n">
        <f aca="false">B78*E78/100</f>
        <v>0.3</v>
      </c>
      <c r="J78" s="13" t="n">
        <f aca="false">B78*F78/100</f>
        <v>2.4</v>
      </c>
      <c r="K78" s="13" t="n">
        <f aca="false">B78*G78/100</f>
        <v>0</v>
      </c>
    </row>
    <row r="79" customFormat="false" ht="15" hidden="false" customHeight="false" outlineLevel="0" collapsed="false">
      <c r="A79" s="5" t="s">
        <v>212</v>
      </c>
      <c r="B79" s="12" t="n">
        <v>3</v>
      </c>
      <c r="C79" s="4" t="s">
        <v>69</v>
      </c>
      <c r="D79" s="12" t="n">
        <v>330</v>
      </c>
      <c r="E79" s="12" t="n">
        <v>17</v>
      </c>
      <c r="F79" s="12" t="n">
        <v>70</v>
      </c>
      <c r="G79" s="12" t="n">
        <v>1</v>
      </c>
      <c r="H79" s="13" t="n">
        <f aca="false">B79*D79/100</f>
        <v>9.9</v>
      </c>
      <c r="I79" s="13" t="n">
        <f aca="false">B79*E79/100</f>
        <v>0.51</v>
      </c>
      <c r="J79" s="13" t="n">
        <f aca="false">B79*F79/100</f>
        <v>2.1</v>
      </c>
      <c r="K79" s="13" t="n">
        <f aca="false">B79*G79/100</f>
        <v>0.03</v>
      </c>
    </row>
    <row r="80" customFormat="false" ht="15" hidden="false" customHeight="false" outlineLevel="0" collapsed="false">
      <c r="A80" s="5" t="s">
        <v>143</v>
      </c>
      <c r="B80" s="12" t="n">
        <v>60</v>
      </c>
      <c r="C80" s="4" t="s">
        <v>69</v>
      </c>
      <c r="D80" s="12" t="n">
        <v>165</v>
      </c>
      <c r="E80" s="12" t="n">
        <v>2.5</v>
      </c>
      <c r="F80" s="12" t="n">
        <v>4</v>
      </c>
      <c r="G80" s="12" t="n">
        <v>15</v>
      </c>
      <c r="H80" s="13" t="n">
        <f aca="false">B80*D80/100</f>
        <v>99</v>
      </c>
      <c r="I80" s="13" t="n">
        <f aca="false">B80*E80/100</f>
        <v>1.5</v>
      </c>
      <c r="J80" s="13" t="n">
        <f aca="false">B80*F80/100</f>
        <v>2.4</v>
      </c>
      <c r="K80" s="13" t="n">
        <f aca="false">B80*G80/100</f>
        <v>9</v>
      </c>
    </row>
    <row r="81" customFormat="false" ht="26.85" hidden="false" customHeight="false" outlineLevel="0" collapsed="false">
      <c r="A81" s="5" t="s">
        <v>215</v>
      </c>
      <c r="B81" s="12" t="n">
        <v>60</v>
      </c>
      <c r="C81" s="4" t="s">
        <v>69</v>
      </c>
      <c r="D81" s="12" t="n">
        <v>20</v>
      </c>
      <c r="E81" s="12" t="n">
        <v>2</v>
      </c>
      <c r="F81" s="12" t="n">
        <v>1</v>
      </c>
      <c r="G81" s="12" t="n">
        <v>0.3</v>
      </c>
      <c r="H81" s="13" t="n">
        <f aca="false">B81*D81/100</f>
        <v>12</v>
      </c>
      <c r="I81" s="13" t="n">
        <f aca="false">B81*E81/100</f>
        <v>1.2</v>
      </c>
      <c r="J81" s="13" t="n">
        <f aca="false">B81*F81/100</f>
        <v>0.6</v>
      </c>
      <c r="K81" s="13" t="n">
        <f aca="false">B81*G81/100</f>
        <v>0.18</v>
      </c>
    </row>
    <row r="82" customFormat="false" ht="15" hidden="false" customHeight="false" outlineLevel="0" collapsed="false">
      <c r="A82" s="5" t="s">
        <v>218</v>
      </c>
      <c r="B82" s="12" t="n">
        <v>5</v>
      </c>
      <c r="C82" s="4" t="s">
        <v>69</v>
      </c>
      <c r="D82" s="12" t="n">
        <v>350</v>
      </c>
      <c r="E82" s="12" t="n">
        <v>10</v>
      </c>
      <c r="F82" s="12" t="n">
        <v>72</v>
      </c>
      <c r="G82" s="12" t="n">
        <v>1</v>
      </c>
      <c r="H82" s="13" t="n">
        <f aca="false">B82*D82/100</f>
        <v>17.5</v>
      </c>
      <c r="I82" s="13" t="n">
        <f aca="false">B82*E82/100</f>
        <v>0.5</v>
      </c>
      <c r="J82" s="13" t="n">
        <f aca="false">B82*F82/100</f>
        <v>3.6</v>
      </c>
      <c r="K82" s="13" t="n">
        <f aca="false">B82*G82/100</f>
        <v>0.05</v>
      </c>
    </row>
    <row r="83" customFormat="false" ht="15" hidden="false" customHeight="false" outlineLevel="0" collapsed="false">
      <c r="A83" s="5" t="s">
        <v>219</v>
      </c>
      <c r="B83" s="12" t="n">
        <v>5</v>
      </c>
      <c r="C83" s="4" t="s">
        <v>69</v>
      </c>
      <c r="D83" s="12" t="n">
        <v>150</v>
      </c>
      <c r="E83" s="12" t="n">
        <v>10</v>
      </c>
      <c r="F83" s="12" t="n">
        <v>15</v>
      </c>
      <c r="G83" s="12" t="n">
        <v>8</v>
      </c>
      <c r="H83" s="13" t="n">
        <f aca="false">B83*D83/100</f>
        <v>7.5</v>
      </c>
      <c r="I83" s="13" t="n">
        <f aca="false">B83*E83/100</f>
        <v>0.5</v>
      </c>
      <c r="J83" s="13" t="n">
        <f aca="false">B83*F83/100</f>
        <v>0.75</v>
      </c>
      <c r="K83" s="13" t="n">
        <f aca="false">B83*G83/100</f>
        <v>0.4</v>
      </c>
    </row>
    <row r="84" customFormat="false" ht="15" hidden="false" customHeight="false" outlineLevel="0" collapsed="false">
      <c r="A84" s="5" t="s">
        <v>222</v>
      </c>
      <c r="B84" s="12" t="n">
        <v>1</v>
      </c>
      <c r="C84" s="4" t="s">
        <v>69</v>
      </c>
      <c r="D84" s="12" t="n">
        <v>280</v>
      </c>
      <c r="E84" s="12" t="n">
        <v>20</v>
      </c>
      <c r="F84" s="12" t="n">
        <v>40</v>
      </c>
      <c r="G84" s="12" t="n">
        <v>5</v>
      </c>
      <c r="H84" s="13" t="n">
        <f aca="false">B84*D84/100</f>
        <v>2.8</v>
      </c>
      <c r="I84" s="13" t="n">
        <f aca="false">B84*E84/100</f>
        <v>0.2</v>
      </c>
      <c r="J84" s="13" t="n">
        <f aca="false">B84*F84/100</f>
        <v>0.4</v>
      </c>
      <c r="K84" s="13" t="n">
        <f aca="false">B84*G84/100</f>
        <v>0.05</v>
      </c>
    </row>
    <row r="85" customFormat="false" ht="15" hidden="false" customHeight="false" outlineLevel="0" collapsed="false">
      <c r="A85" s="5" t="s">
        <v>174</v>
      </c>
      <c r="B85" s="12" t="n">
        <v>100</v>
      </c>
      <c r="C85" s="4" t="s">
        <v>74</v>
      </c>
      <c r="D85" s="12" t="n">
        <v>0</v>
      </c>
      <c r="E85" s="12" t="n">
        <v>0</v>
      </c>
      <c r="F85" s="12" t="n">
        <v>0</v>
      </c>
      <c r="G85" s="12" t="n">
        <v>0</v>
      </c>
      <c r="H85" s="13" t="n">
        <f aca="false">B85*D85/100</f>
        <v>0</v>
      </c>
      <c r="I85" s="13" t="n">
        <f aca="false">B85*E85/100</f>
        <v>0</v>
      </c>
      <c r="J85" s="13" t="n">
        <f aca="false">B85*F85/100</f>
        <v>0</v>
      </c>
      <c r="K85" s="13" t="n">
        <f aca="false">B85*G85/100</f>
        <v>0</v>
      </c>
    </row>
    <row r="86" customFormat="false" ht="15" hidden="false" customHeight="false" outlineLevel="0" collapsed="false">
      <c r="A86" s="5" t="s">
        <v>88</v>
      </c>
      <c r="B86" s="12" t="n">
        <v>10</v>
      </c>
      <c r="C86" s="4" t="s">
        <v>74</v>
      </c>
      <c r="D86" s="12" t="n">
        <v>900</v>
      </c>
      <c r="E86" s="12" t="n">
        <v>0</v>
      </c>
      <c r="F86" s="12" t="n">
        <v>0</v>
      </c>
      <c r="G86" s="12" t="n">
        <v>100</v>
      </c>
      <c r="H86" s="13" t="n">
        <f aca="false">B86*D86/100</f>
        <v>90</v>
      </c>
      <c r="I86" s="13" t="n">
        <f aca="false">B86*E86/100</f>
        <v>0</v>
      </c>
      <c r="J86" s="13" t="n">
        <f aca="false">B86*F86/100</f>
        <v>0</v>
      </c>
      <c r="K86" s="13" t="n">
        <f aca="false">B86*G86/100</f>
        <v>10</v>
      </c>
    </row>
    <row r="87" customFormat="false" ht="15" hidden="false" customHeight="false" outlineLevel="0" collapsed="false">
      <c r="A87" s="5" t="s">
        <v>223</v>
      </c>
      <c r="B87" s="12" t="n">
        <v>100</v>
      </c>
      <c r="C87" s="4" t="s">
        <v>69</v>
      </c>
      <c r="D87" s="12" t="n">
        <v>355</v>
      </c>
      <c r="E87" s="12" t="n">
        <v>12</v>
      </c>
      <c r="F87" s="12" t="n">
        <v>72</v>
      </c>
      <c r="G87" s="12" t="n">
        <v>1.5</v>
      </c>
      <c r="H87" s="13" t="n">
        <f aca="false">B87*D87/100</f>
        <v>355</v>
      </c>
      <c r="I87" s="13" t="n">
        <f aca="false">B87*E87/100</f>
        <v>12</v>
      </c>
      <c r="J87" s="13" t="n">
        <f aca="false">B87*F87/100</f>
        <v>72</v>
      </c>
      <c r="K87" s="13" t="n">
        <f aca="false">B87*G87/100</f>
        <v>1.5</v>
      </c>
    </row>
    <row r="88" customFormat="false" ht="15" hidden="false" customHeight="false" outlineLevel="0" collapsed="false">
      <c r="A88" s="5" t="s">
        <v>95</v>
      </c>
      <c r="B88" s="12" t="n">
        <v>1</v>
      </c>
      <c r="C88" s="4" t="s">
        <v>69</v>
      </c>
      <c r="D88" s="12" t="n">
        <v>0</v>
      </c>
      <c r="E88" s="12" t="n">
        <v>0</v>
      </c>
      <c r="F88" s="12" t="n">
        <v>0</v>
      </c>
      <c r="G88" s="12" t="n">
        <v>0</v>
      </c>
      <c r="H88" s="13" t="n">
        <f aca="false">B88*D88/100</f>
        <v>0</v>
      </c>
      <c r="I88" s="13" t="n">
        <f aca="false">B88*E88/100</f>
        <v>0</v>
      </c>
      <c r="J88" s="13" t="n">
        <f aca="false">B88*F88/100</f>
        <v>0</v>
      </c>
      <c r="K88" s="13" t="n">
        <f aca="false">B88*G88/100</f>
        <v>0</v>
      </c>
    </row>
    <row r="89" customFormat="false" ht="15" hidden="false" customHeight="false" outlineLevel="0" collapsed="false">
      <c r="A89" s="5" t="s">
        <v>98</v>
      </c>
      <c r="B89" s="12" t="n">
        <v>0.5</v>
      </c>
      <c r="C89" s="4" t="s">
        <v>69</v>
      </c>
      <c r="D89" s="12" t="n">
        <v>0</v>
      </c>
      <c r="E89" s="12" t="n">
        <v>0</v>
      </c>
      <c r="F89" s="12" t="n">
        <v>0</v>
      </c>
      <c r="G89" s="12" t="n">
        <v>0</v>
      </c>
      <c r="H89" s="13" t="n">
        <f aca="false">B89*D89/100</f>
        <v>0</v>
      </c>
      <c r="I89" s="13" t="n">
        <f aca="false">B89*E89/100</f>
        <v>0</v>
      </c>
      <c r="J89" s="13" t="n">
        <f aca="false">B89*F89/100</f>
        <v>0</v>
      </c>
      <c r="K89" s="13" t="n">
        <f aca="false">B89*G89/100</f>
        <v>0</v>
      </c>
    </row>
    <row r="90" customFormat="false" ht="15" hidden="false" customHeight="false" outlineLevel="0" collapsed="false">
      <c r="A90" s="9" t="s">
        <v>637</v>
      </c>
      <c r="H90" s="14" t="n">
        <f aca="false">SUM(H77:H89)</f>
        <v>770.7</v>
      </c>
      <c r="I90" s="14" t="n">
        <f aca="false">SUM(I77:I89)</f>
        <v>51.21</v>
      </c>
      <c r="J90" s="14" t="n">
        <f aca="false">SUM(J77:J89)</f>
        <v>84.25</v>
      </c>
      <c r="K90" s="14" t="n">
        <f aca="false">SUM(K77:K89)</f>
        <v>24.21</v>
      </c>
      <c r="L90" s="9" t="str">
        <f aca="false">IF(H90&gt;=700,"≥ 700 kcal OK","&lt; 700 kcal")</f>
        <v>≥ 700 kcal OK</v>
      </c>
    </row>
    <row r="91" customFormat="false" ht="15" hidden="false" customHeight="false" outlineLevel="0" collapsed="false">
      <c r="A91" s="9" t="s">
        <v>638</v>
      </c>
      <c r="H91" s="7" t="n">
        <f aca="false">H90*2</f>
        <v>1541.4</v>
      </c>
      <c r="I91" s="7" t="n">
        <f aca="false">I90*2</f>
        <v>102.42</v>
      </c>
      <c r="J91" s="7" t="n">
        <f aca="false">J90*2</f>
        <v>168.5</v>
      </c>
      <c r="K91" s="7" t="n">
        <f aca="false">K90*2</f>
        <v>48.42</v>
      </c>
    </row>
    <row r="92" customFormat="false" ht="15" hidden="false" customHeight="false" outlineLevel="0" collapsed="false">
      <c r="A92" s="4" t="s">
        <v>639</v>
      </c>
      <c r="I92" s="15" t="n">
        <f aca="false">I90*4/H90</f>
        <v>0.265784351887894</v>
      </c>
      <c r="J92" s="15" t="n">
        <f aca="false">J90*4/H90</f>
        <v>0.437264824185805</v>
      </c>
      <c r="K92" s="15" t="n">
        <f aca="false">K90*9/H90</f>
        <v>0.282717010509926</v>
      </c>
    </row>
    <row r="94" customFormat="false" ht="16.15" hidden="false" customHeight="false" outlineLevel="0" collapsed="false">
      <c r="A94" s="1" t="s">
        <v>233</v>
      </c>
    </row>
    <row r="95" customFormat="false" ht="26.85" hidden="false" customHeight="false" outlineLevel="0" collapsed="false">
      <c r="A95" s="3" t="s">
        <v>626</v>
      </c>
      <c r="B95" s="3" t="s">
        <v>627</v>
      </c>
      <c r="C95" s="3" t="s">
        <v>64</v>
      </c>
      <c r="D95" s="3" t="s">
        <v>628</v>
      </c>
      <c r="E95" s="3" t="s">
        <v>629</v>
      </c>
      <c r="F95" s="3" t="s">
        <v>630</v>
      </c>
      <c r="G95" s="3" t="s">
        <v>631</v>
      </c>
      <c r="H95" s="3" t="s">
        <v>632</v>
      </c>
      <c r="I95" s="3" t="s">
        <v>633</v>
      </c>
      <c r="J95" s="3" t="s">
        <v>634</v>
      </c>
      <c r="K95" s="3" t="s">
        <v>635</v>
      </c>
      <c r="L95" s="3" t="s">
        <v>636</v>
      </c>
    </row>
    <row r="96" customFormat="false" ht="15" hidden="false" customHeight="false" outlineLevel="0" collapsed="false">
      <c r="A96" s="5" t="s">
        <v>238</v>
      </c>
      <c r="B96" s="12" t="n">
        <v>50</v>
      </c>
      <c r="C96" s="4" t="s">
        <v>69</v>
      </c>
      <c r="D96" s="12" t="n">
        <v>450</v>
      </c>
      <c r="E96" s="12" t="n">
        <v>22</v>
      </c>
      <c r="F96" s="12" t="n">
        <v>2</v>
      </c>
      <c r="G96" s="12" t="n">
        <v>40</v>
      </c>
      <c r="H96" s="13" t="n">
        <f aca="false">B96*D96/100</f>
        <v>225</v>
      </c>
      <c r="I96" s="13" t="n">
        <f aca="false">B96*E96/100</f>
        <v>11</v>
      </c>
      <c r="J96" s="13" t="n">
        <f aca="false">B96*F96/100</f>
        <v>1</v>
      </c>
      <c r="K96" s="13" t="n">
        <f aca="false">B96*G96/100</f>
        <v>20</v>
      </c>
    </row>
    <row r="97" customFormat="false" ht="15" hidden="false" customHeight="false" outlineLevel="0" collapsed="false">
      <c r="A97" s="5" t="s">
        <v>241</v>
      </c>
      <c r="B97" s="12" t="n">
        <v>80</v>
      </c>
      <c r="C97" s="4" t="s">
        <v>69</v>
      </c>
      <c r="D97" s="12" t="n">
        <v>300</v>
      </c>
      <c r="E97" s="12" t="n">
        <v>8</v>
      </c>
      <c r="F97" s="12" t="n">
        <v>50</v>
      </c>
      <c r="G97" s="12" t="n">
        <v>7</v>
      </c>
      <c r="H97" s="13" t="n">
        <f aca="false">B97*D97/100</f>
        <v>240</v>
      </c>
      <c r="I97" s="13" t="n">
        <f aca="false">B97*E97/100</f>
        <v>6.4</v>
      </c>
      <c r="J97" s="13" t="n">
        <f aca="false">B97*F97/100</f>
        <v>40</v>
      </c>
      <c r="K97" s="13" t="n">
        <f aca="false">B97*G97/100</f>
        <v>5.6</v>
      </c>
    </row>
    <row r="98" customFormat="false" ht="15" hidden="false" customHeight="false" outlineLevel="0" collapsed="false">
      <c r="A98" s="5" t="s">
        <v>244</v>
      </c>
      <c r="B98" s="12" t="n">
        <v>60</v>
      </c>
      <c r="C98" s="4" t="s">
        <v>69</v>
      </c>
      <c r="D98" s="12" t="n">
        <v>380</v>
      </c>
      <c r="E98" s="12" t="n">
        <v>28</v>
      </c>
      <c r="F98" s="12" t="n">
        <v>0.5</v>
      </c>
      <c r="G98" s="12" t="n">
        <v>30</v>
      </c>
      <c r="H98" s="13" t="n">
        <f aca="false">B98*D98/100</f>
        <v>228</v>
      </c>
      <c r="I98" s="13" t="n">
        <f aca="false">B98*E98/100</f>
        <v>16.8</v>
      </c>
      <c r="J98" s="13" t="n">
        <f aca="false">B98*F98/100</f>
        <v>0.3</v>
      </c>
      <c r="K98" s="13" t="n">
        <f aca="false">B98*G98/100</f>
        <v>18</v>
      </c>
    </row>
    <row r="99" customFormat="false" ht="15" hidden="false" customHeight="false" outlineLevel="0" collapsed="false">
      <c r="A99" s="5" t="s">
        <v>246</v>
      </c>
      <c r="B99" s="12" t="n">
        <v>75</v>
      </c>
      <c r="C99" s="4" t="s">
        <v>69</v>
      </c>
      <c r="D99" s="12" t="n">
        <v>160</v>
      </c>
      <c r="E99" s="12" t="n">
        <v>2</v>
      </c>
      <c r="F99" s="12" t="n">
        <v>2</v>
      </c>
      <c r="G99" s="12" t="n">
        <v>15</v>
      </c>
      <c r="H99" s="13" t="n">
        <f aca="false">B99*D99/100</f>
        <v>120</v>
      </c>
      <c r="I99" s="13" t="n">
        <f aca="false">B99*E99/100</f>
        <v>1.5</v>
      </c>
      <c r="J99" s="13" t="n">
        <f aca="false">B99*F99/100</f>
        <v>1.5</v>
      </c>
      <c r="K99" s="13" t="n">
        <f aca="false">B99*G99/100</f>
        <v>11.25</v>
      </c>
    </row>
    <row r="100" customFormat="false" ht="15" hidden="false" customHeight="false" outlineLevel="0" collapsed="false">
      <c r="A100" s="5" t="s">
        <v>143</v>
      </c>
      <c r="B100" s="12" t="n">
        <v>50</v>
      </c>
      <c r="C100" s="4" t="s">
        <v>69</v>
      </c>
      <c r="D100" s="12" t="n">
        <v>165</v>
      </c>
      <c r="E100" s="12" t="n">
        <v>2.5</v>
      </c>
      <c r="F100" s="12" t="n">
        <v>4</v>
      </c>
      <c r="G100" s="12" t="n">
        <v>15</v>
      </c>
      <c r="H100" s="13" t="n">
        <f aca="false">B100*D100/100</f>
        <v>82.5</v>
      </c>
      <c r="I100" s="13" t="n">
        <f aca="false">B100*E100/100</f>
        <v>1.25</v>
      </c>
      <c r="J100" s="13" t="n">
        <f aca="false">B100*F100/100</f>
        <v>2</v>
      </c>
      <c r="K100" s="13" t="n">
        <f aca="false">B100*G100/100</f>
        <v>7.5</v>
      </c>
    </row>
    <row r="101" customFormat="false" ht="15" hidden="false" customHeight="false" outlineLevel="0" collapsed="false">
      <c r="A101" s="5" t="s">
        <v>168</v>
      </c>
      <c r="B101" s="12" t="n">
        <v>7</v>
      </c>
      <c r="C101" s="4" t="s">
        <v>74</v>
      </c>
      <c r="D101" s="12" t="n">
        <v>900</v>
      </c>
      <c r="E101" s="12" t="n">
        <v>0</v>
      </c>
      <c r="F101" s="12" t="n">
        <v>0</v>
      </c>
      <c r="G101" s="12" t="n">
        <v>100</v>
      </c>
      <c r="H101" s="13" t="n">
        <f aca="false">B101*D101/100</f>
        <v>63</v>
      </c>
      <c r="I101" s="13" t="n">
        <f aca="false">B101*E101/100</f>
        <v>0</v>
      </c>
      <c r="J101" s="13" t="n">
        <f aca="false">B101*F101/100</f>
        <v>0</v>
      </c>
      <c r="K101" s="13" t="n">
        <f aca="false">B101*G101/100</f>
        <v>7</v>
      </c>
    </row>
    <row r="102" customFormat="false" ht="15" hidden="false" customHeight="false" outlineLevel="0" collapsed="false">
      <c r="A102" s="5" t="s">
        <v>250</v>
      </c>
      <c r="B102" s="12" t="n">
        <v>2</v>
      </c>
      <c r="C102" s="4" t="s">
        <v>74</v>
      </c>
      <c r="D102" s="12" t="n">
        <v>20</v>
      </c>
      <c r="E102" s="12" t="n">
        <v>0</v>
      </c>
      <c r="F102" s="12" t="n">
        <v>1</v>
      </c>
      <c r="G102" s="12" t="n">
        <v>0</v>
      </c>
      <c r="H102" s="13" t="n">
        <f aca="false">B102*D102/100</f>
        <v>0.4</v>
      </c>
      <c r="I102" s="13" t="n">
        <f aca="false">B102*E102/100</f>
        <v>0</v>
      </c>
      <c r="J102" s="13" t="n">
        <f aca="false">B102*F102/100</f>
        <v>0.02</v>
      </c>
      <c r="K102" s="13" t="n">
        <f aca="false">B102*G102/100</f>
        <v>0</v>
      </c>
    </row>
    <row r="103" customFormat="false" ht="15" hidden="false" customHeight="false" outlineLevel="0" collapsed="false">
      <c r="A103" s="5" t="s">
        <v>95</v>
      </c>
      <c r="B103" s="12" t="n">
        <v>0.5</v>
      </c>
      <c r="C103" s="4" t="s">
        <v>69</v>
      </c>
      <c r="D103" s="12" t="n">
        <v>0</v>
      </c>
      <c r="E103" s="12" t="n">
        <v>0</v>
      </c>
      <c r="F103" s="12" t="n">
        <v>0</v>
      </c>
      <c r="G103" s="12" t="n">
        <v>0</v>
      </c>
      <c r="H103" s="13" t="n">
        <f aca="false">B103*D103/100</f>
        <v>0</v>
      </c>
      <c r="I103" s="13" t="n">
        <f aca="false">B103*E103/100</f>
        <v>0</v>
      </c>
      <c r="J103" s="13" t="n">
        <f aca="false">B103*F103/100</f>
        <v>0</v>
      </c>
      <c r="K103" s="13" t="n">
        <f aca="false">B103*G103/100</f>
        <v>0</v>
      </c>
    </row>
    <row r="104" customFormat="false" ht="15" hidden="false" customHeight="false" outlineLevel="0" collapsed="false">
      <c r="A104" s="5" t="s">
        <v>98</v>
      </c>
      <c r="B104" s="12" t="n">
        <v>0.5</v>
      </c>
      <c r="C104" s="4" t="s">
        <v>69</v>
      </c>
      <c r="D104" s="12" t="n">
        <v>0</v>
      </c>
      <c r="E104" s="12" t="n">
        <v>0</v>
      </c>
      <c r="F104" s="12" t="n">
        <v>0</v>
      </c>
      <c r="G104" s="12" t="n">
        <v>0</v>
      </c>
      <c r="H104" s="13" t="n">
        <f aca="false">B104*D104/100</f>
        <v>0</v>
      </c>
      <c r="I104" s="13" t="n">
        <f aca="false">B104*E104/100</f>
        <v>0</v>
      </c>
      <c r="J104" s="13" t="n">
        <f aca="false">B104*F104/100</f>
        <v>0</v>
      </c>
      <c r="K104" s="13" t="n">
        <f aca="false">B104*G104/100</f>
        <v>0</v>
      </c>
    </row>
    <row r="105" customFormat="false" ht="15" hidden="false" customHeight="false" outlineLevel="0" collapsed="false">
      <c r="A105" s="9" t="s">
        <v>637</v>
      </c>
      <c r="H105" s="14" t="n">
        <f aca="false">SUM(H96:H104)</f>
        <v>958.9</v>
      </c>
      <c r="I105" s="14" t="n">
        <f aca="false">SUM(I96:I104)</f>
        <v>36.95</v>
      </c>
      <c r="J105" s="14" t="n">
        <f aca="false">SUM(J96:J104)</f>
        <v>44.82</v>
      </c>
      <c r="K105" s="14" t="n">
        <f aca="false">SUM(K96:K104)</f>
        <v>69.35</v>
      </c>
      <c r="L105" s="9" t="str">
        <f aca="false">IF(H105&gt;=700,"≥ 700 kcal OK","&lt; 700 kcal")</f>
        <v>≥ 700 kcal OK</v>
      </c>
    </row>
    <row r="106" customFormat="false" ht="15" hidden="false" customHeight="false" outlineLevel="0" collapsed="false">
      <c r="A106" s="9" t="s">
        <v>638</v>
      </c>
      <c r="H106" s="7" t="n">
        <f aca="false">H105*2</f>
        <v>1917.8</v>
      </c>
      <c r="I106" s="7" t="n">
        <f aca="false">I105*2</f>
        <v>73.9</v>
      </c>
      <c r="J106" s="7" t="n">
        <f aca="false">J105*2</f>
        <v>89.64</v>
      </c>
      <c r="K106" s="7" t="n">
        <f aca="false">K105*2</f>
        <v>138.7</v>
      </c>
    </row>
    <row r="107" customFormat="false" ht="15" hidden="false" customHeight="false" outlineLevel="0" collapsed="false">
      <c r="A107" s="4" t="s">
        <v>639</v>
      </c>
      <c r="I107" s="15" t="n">
        <f aca="false">I105*4/H105</f>
        <v>0.154134946292627</v>
      </c>
      <c r="J107" s="15" t="n">
        <f aca="false">J105*4/H105</f>
        <v>0.186964229846699</v>
      </c>
      <c r="K107" s="15" t="n">
        <f aca="false">K105*9/H105</f>
        <v>0.650902075294608</v>
      </c>
    </row>
    <row r="109" customFormat="false" ht="16.15" hidden="false" customHeight="false" outlineLevel="0" collapsed="false">
      <c r="A109" s="1" t="s">
        <v>259</v>
      </c>
    </row>
    <row r="110" customFormat="false" ht="26.85" hidden="false" customHeight="false" outlineLevel="0" collapsed="false">
      <c r="A110" s="3" t="s">
        <v>626</v>
      </c>
      <c r="B110" s="3" t="s">
        <v>627</v>
      </c>
      <c r="C110" s="3" t="s">
        <v>64</v>
      </c>
      <c r="D110" s="3" t="s">
        <v>628</v>
      </c>
      <c r="E110" s="3" t="s">
        <v>629</v>
      </c>
      <c r="F110" s="3" t="s">
        <v>630</v>
      </c>
      <c r="G110" s="3" t="s">
        <v>631</v>
      </c>
      <c r="H110" s="3" t="s">
        <v>632</v>
      </c>
      <c r="I110" s="3" t="s">
        <v>633</v>
      </c>
      <c r="J110" s="3" t="s">
        <v>634</v>
      </c>
      <c r="K110" s="3" t="s">
        <v>635</v>
      </c>
      <c r="L110" s="3" t="s">
        <v>636</v>
      </c>
    </row>
    <row r="111" customFormat="false" ht="15" hidden="false" customHeight="false" outlineLevel="0" collapsed="false">
      <c r="A111" s="5" t="s">
        <v>261</v>
      </c>
      <c r="B111" s="12" t="n">
        <v>125</v>
      </c>
      <c r="C111" s="4" t="s">
        <v>69</v>
      </c>
      <c r="D111" s="12" t="n">
        <v>355</v>
      </c>
      <c r="E111" s="12" t="n">
        <v>12</v>
      </c>
      <c r="F111" s="12" t="n">
        <v>72</v>
      </c>
      <c r="G111" s="12" t="n">
        <v>1.5</v>
      </c>
      <c r="H111" s="13" t="n">
        <f aca="false">B111*D111/100</f>
        <v>443.75</v>
      </c>
      <c r="I111" s="13" t="n">
        <f aca="false">B111*E111/100</f>
        <v>15</v>
      </c>
      <c r="J111" s="13" t="n">
        <f aca="false">B111*F111/100</f>
        <v>90</v>
      </c>
      <c r="K111" s="13" t="n">
        <f aca="false">B111*G111/100</f>
        <v>1.875</v>
      </c>
    </row>
    <row r="112" customFormat="false" ht="15" hidden="false" customHeight="false" outlineLevel="0" collapsed="false">
      <c r="A112" s="5" t="s">
        <v>68</v>
      </c>
      <c r="B112" s="12" t="n">
        <v>100</v>
      </c>
      <c r="C112" s="4" t="s">
        <v>69</v>
      </c>
      <c r="D112" s="12" t="n">
        <v>110</v>
      </c>
      <c r="E112" s="12" t="n">
        <v>23</v>
      </c>
      <c r="F112" s="12" t="n">
        <v>0</v>
      </c>
      <c r="G112" s="12" t="n">
        <v>2</v>
      </c>
      <c r="H112" s="13" t="n">
        <f aca="false">B112*D112/100</f>
        <v>110</v>
      </c>
      <c r="I112" s="13" t="n">
        <f aca="false">B112*E112/100</f>
        <v>23</v>
      </c>
      <c r="J112" s="13" t="n">
        <f aca="false">B112*F112/100</f>
        <v>0</v>
      </c>
      <c r="K112" s="13" t="n">
        <f aca="false">B112*G112/100</f>
        <v>2</v>
      </c>
    </row>
    <row r="113" customFormat="false" ht="15" hidden="false" customHeight="false" outlineLevel="0" collapsed="false">
      <c r="A113" s="5" t="s">
        <v>263</v>
      </c>
      <c r="B113" s="12" t="n">
        <v>15</v>
      </c>
      <c r="C113" s="4" t="s">
        <v>74</v>
      </c>
      <c r="D113" s="12" t="n">
        <v>165</v>
      </c>
      <c r="E113" s="12" t="n">
        <v>2.5</v>
      </c>
      <c r="F113" s="12" t="n">
        <v>4</v>
      </c>
      <c r="G113" s="12" t="n">
        <v>15</v>
      </c>
      <c r="H113" s="13" t="n">
        <f aca="false">B113*D113/100</f>
        <v>24.75</v>
      </c>
      <c r="I113" s="13" t="n">
        <f aca="false">B113*E113/100</f>
        <v>0.375</v>
      </c>
      <c r="J113" s="13" t="n">
        <f aca="false">B113*F113/100</f>
        <v>0.6</v>
      </c>
      <c r="K113" s="13" t="n">
        <f aca="false">B113*G113/100</f>
        <v>2.25</v>
      </c>
    </row>
    <row r="114" customFormat="false" ht="15" hidden="false" customHeight="false" outlineLevel="0" collapsed="false">
      <c r="A114" s="5" t="s">
        <v>264</v>
      </c>
      <c r="B114" s="12" t="n">
        <v>50</v>
      </c>
      <c r="C114" s="4" t="s">
        <v>74</v>
      </c>
      <c r="D114" s="12" t="n">
        <v>400</v>
      </c>
      <c r="E114" s="12" t="n">
        <v>5</v>
      </c>
      <c r="F114" s="12" t="n">
        <v>12</v>
      </c>
      <c r="G114" s="12" t="n">
        <v>36</v>
      </c>
      <c r="H114" s="13" t="n">
        <f aca="false">B114*D114/100</f>
        <v>200</v>
      </c>
      <c r="I114" s="13" t="n">
        <f aca="false">B114*E114/100</f>
        <v>2.5</v>
      </c>
      <c r="J114" s="13" t="n">
        <f aca="false">B114*F114/100</f>
        <v>6</v>
      </c>
      <c r="K114" s="13" t="n">
        <f aca="false">B114*G114/100</f>
        <v>18</v>
      </c>
    </row>
    <row r="115" customFormat="false" ht="15" hidden="false" customHeight="false" outlineLevel="0" collapsed="false">
      <c r="A115" s="5" t="s">
        <v>267</v>
      </c>
      <c r="B115" s="12" t="n">
        <v>30</v>
      </c>
      <c r="C115" s="4" t="s">
        <v>69</v>
      </c>
      <c r="D115" s="12" t="n">
        <v>390</v>
      </c>
      <c r="E115" s="12" t="n">
        <v>33</v>
      </c>
      <c r="F115" s="12" t="n">
        <v>0</v>
      </c>
      <c r="G115" s="12" t="n">
        <v>28</v>
      </c>
      <c r="H115" s="13" t="n">
        <f aca="false">B115*D115/100</f>
        <v>117</v>
      </c>
      <c r="I115" s="13" t="n">
        <f aca="false">B115*E115/100</f>
        <v>9.9</v>
      </c>
      <c r="J115" s="13" t="n">
        <f aca="false">B115*F115/100</f>
        <v>0</v>
      </c>
      <c r="K115" s="13" t="n">
        <f aca="false">B115*G115/100</f>
        <v>8.4</v>
      </c>
    </row>
    <row r="116" customFormat="false" ht="15" hidden="false" customHeight="false" outlineLevel="0" collapsed="false">
      <c r="A116" s="5" t="s">
        <v>88</v>
      </c>
      <c r="B116" s="12" t="n">
        <v>5</v>
      </c>
      <c r="C116" s="4" t="s">
        <v>74</v>
      </c>
      <c r="D116" s="12" t="n">
        <v>900</v>
      </c>
      <c r="E116" s="12" t="n">
        <v>0</v>
      </c>
      <c r="F116" s="12" t="n">
        <v>0</v>
      </c>
      <c r="G116" s="12" t="n">
        <v>100</v>
      </c>
      <c r="H116" s="13" t="n">
        <f aca="false">B116*D116/100</f>
        <v>45</v>
      </c>
      <c r="I116" s="13" t="n">
        <f aca="false">B116*E116/100</f>
        <v>0</v>
      </c>
      <c r="J116" s="13" t="n">
        <f aca="false">B116*F116/100</f>
        <v>0</v>
      </c>
      <c r="K116" s="13" t="n">
        <f aca="false">B116*G116/100</f>
        <v>5</v>
      </c>
    </row>
    <row r="117" customFormat="false" ht="15" hidden="false" customHeight="false" outlineLevel="0" collapsed="false">
      <c r="A117" s="5" t="s">
        <v>95</v>
      </c>
      <c r="B117" s="12" t="n">
        <v>1</v>
      </c>
      <c r="C117" s="4" t="s">
        <v>69</v>
      </c>
      <c r="D117" s="12" t="n">
        <v>0</v>
      </c>
      <c r="E117" s="12" t="n">
        <v>0</v>
      </c>
      <c r="F117" s="12" t="n">
        <v>0</v>
      </c>
      <c r="G117" s="12" t="n">
        <v>0</v>
      </c>
      <c r="H117" s="13" t="n">
        <f aca="false">B117*D117/100</f>
        <v>0</v>
      </c>
      <c r="I117" s="13" t="n">
        <f aca="false">B117*E117/100</f>
        <v>0</v>
      </c>
      <c r="J117" s="13" t="n">
        <f aca="false">B117*F117/100</f>
        <v>0</v>
      </c>
      <c r="K117" s="13" t="n">
        <f aca="false">B117*G117/100</f>
        <v>0</v>
      </c>
    </row>
    <row r="118" customFormat="false" ht="15" hidden="false" customHeight="false" outlineLevel="0" collapsed="false">
      <c r="A118" s="5" t="s">
        <v>98</v>
      </c>
      <c r="B118" s="12" t="n">
        <v>0.5</v>
      </c>
      <c r="C118" s="4" t="s">
        <v>69</v>
      </c>
      <c r="D118" s="12" t="n">
        <v>0</v>
      </c>
      <c r="E118" s="12" t="n">
        <v>0</v>
      </c>
      <c r="F118" s="12" t="n">
        <v>0</v>
      </c>
      <c r="G118" s="12" t="n">
        <v>0</v>
      </c>
      <c r="H118" s="13" t="n">
        <f aca="false">B118*D118/100</f>
        <v>0</v>
      </c>
      <c r="I118" s="13" t="n">
        <f aca="false">B118*E118/100</f>
        <v>0</v>
      </c>
      <c r="J118" s="13" t="n">
        <f aca="false">B118*F118/100</f>
        <v>0</v>
      </c>
      <c r="K118" s="13" t="n">
        <f aca="false">B118*G118/100</f>
        <v>0</v>
      </c>
    </row>
    <row r="119" customFormat="false" ht="15" hidden="false" customHeight="false" outlineLevel="0" collapsed="false">
      <c r="A119" s="9" t="s">
        <v>637</v>
      </c>
      <c r="H119" s="14" t="n">
        <f aca="false">SUM(H111:H118)</f>
        <v>940.5</v>
      </c>
      <c r="I119" s="14" t="n">
        <f aca="false">SUM(I111:I118)</f>
        <v>50.775</v>
      </c>
      <c r="J119" s="14" t="n">
        <f aca="false">SUM(J111:J118)</f>
        <v>96.6</v>
      </c>
      <c r="K119" s="14" t="n">
        <f aca="false">SUM(K111:K118)</f>
        <v>37.525</v>
      </c>
      <c r="L119" s="9" t="str">
        <f aca="false">IF(H119&gt;=700,"≥ 700 kcal OK","&lt; 700 kcal")</f>
        <v>≥ 700 kcal OK</v>
      </c>
    </row>
    <row r="120" customFormat="false" ht="15" hidden="false" customHeight="false" outlineLevel="0" collapsed="false">
      <c r="A120" s="9" t="s">
        <v>638</v>
      </c>
      <c r="H120" s="7" t="n">
        <f aca="false">H119*2</f>
        <v>1881</v>
      </c>
      <c r="I120" s="7" t="n">
        <f aca="false">I119*2</f>
        <v>101.55</v>
      </c>
      <c r="J120" s="7" t="n">
        <f aca="false">J119*2</f>
        <v>193.2</v>
      </c>
      <c r="K120" s="7" t="n">
        <f aca="false">K119*2</f>
        <v>75.05</v>
      </c>
    </row>
    <row r="121" customFormat="false" ht="15" hidden="false" customHeight="false" outlineLevel="0" collapsed="false">
      <c r="A121" s="4" t="s">
        <v>639</v>
      </c>
      <c r="I121" s="15" t="n">
        <f aca="false">I119*4/H119</f>
        <v>0.215948963317384</v>
      </c>
      <c r="J121" s="15" t="n">
        <f aca="false">J119*4/H119</f>
        <v>0.410845295055821</v>
      </c>
      <c r="K121" s="15" t="n">
        <f aca="false">K119*9/H119</f>
        <v>0.359090909090909</v>
      </c>
    </row>
    <row r="123" customFormat="false" ht="16.15" hidden="false" customHeight="false" outlineLevel="0" collapsed="false">
      <c r="A123" s="1" t="s">
        <v>277</v>
      </c>
    </row>
    <row r="124" customFormat="false" ht="26.85" hidden="false" customHeight="false" outlineLevel="0" collapsed="false">
      <c r="A124" s="3" t="s">
        <v>626</v>
      </c>
      <c r="B124" s="3" t="s">
        <v>627</v>
      </c>
      <c r="C124" s="3" t="s">
        <v>64</v>
      </c>
      <c r="D124" s="3" t="s">
        <v>628</v>
      </c>
      <c r="E124" s="3" t="s">
        <v>629</v>
      </c>
      <c r="F124" s="3" t="s">
        <v>630</v>
      </c>
      <c r="G124" s="3" t="s">
        <v>631</v>
      </c>
      <c r="H124" s="3" t="s">
        <v>632</v>
      </c>
      <c r="I124" s="3" t="s">
        <v>633</v>
      </c>
      <c r="J124" s="3" t="s">
        <v>634</v>
      </c>
      <c r="K124" s="3" t="s">
        <v>635</v>
      </c>
      <c r="L124" s="3" t="s">
        <v>636</v>
      </c>
    </row>
    <row r="125" customFormat="false" ht="15" hidden="false" customHeight="false" outlineLevel="0" collapsed="false">
      <c r="A125" s="5" t="s">
        <v>281</v>
      </c>
      <c r="B125" s="12" t="n">
        <v>60</v>
      </c>
      <c r="C125" s="4" t="s">
        <v>69</v>
      </c>
      <c r="D125" s="12" t="n">
        <v>450</v>
      </c>
      <c r="E125" s="12" t="n">
        <v>22</v>
      </c>
      <c r="F125" s="12" t="n">
        <v>2</v>
      </c>
      <c r="G125" s="12" t="n">
        <v>40</v>
      </c>
      <c r="H125" s="13" t="n">
        <f aca="false">B125*D125/100</f>
        <v>270</v>
      </c>
      <c r="I125" s="13" t="n">
        <f aca="false">B125*E125/100</f>
        <v>13.2</v>
      </c>
      <c r="J125" s="13" t="n">
        <f aca="false">B125*F125/100</f>
        <v>1.2</v>
      </c>
      <c r="K125" s="13" t="n">
        <f aca="false">B125*G125/100</f>
        <v>24</v>
      </c>
    </row>
    <row r="126" customFormat="false" ht="15" hidden="false" customHeight="false" outlineLevel="0" collapsed="false">
      <c r="A126" s="5" t="s">
        <v>283</v>
      </c>
      <c r="B126" s="12" t="n">
        <v>25</v>
      </c>
      <c r="C126" s="4" t="s">
        <v>69</v>
      </c>
      <c r="D126" s="12" t="n">
        <v>25</v>
      </c>
      <c r="E126" s="12" t="n">
        <v>1</v>
      </c>
      <c r="F126" s="12" t="n">
        <v>4</v>
      </c>
      <c r="G126" s="12" t="n">
        <v>0.3</v>
      </c>
      <c r="H126" s="13" t="n">
        <f aca="false">B126*D126/100</f>
        <v>6.25</v>
      </c>
      <c r="I126" s="13" t="n">
        <f aca="false">B126*E126/100</f>
        <v>0.25</v>
      </c>
      <c r="J126" s="13" t="n">
        <f aca="false">B126*F126/100</f>
        <v>1</v>
      </c>
      <c r="K126" s="13" t="n">
        <f aca="false">B126*G126/100</f>
        <v>0.075</v>
      </c>
    </row>
    <row r="127" customFormat="false" ht="15" hidden="false" customHeight="false" outlineLevel="0" collapsed="false">
      <c r="A127" s="5" t="s">
        <v>285</v>
      </c>
      <c r="B127" s="12" t="n">
        <v>25</v>
      </c>
      <c r="C127" s="4" t="s">
        <v>69</v>
      </c>
      <c r="D127" s="12" t="n">
        <v>25</v>
      </c>
      <c r="E127" s="12" t="n">
        <v>1</v>
      </c>
      <c r="F127" s="12" t="n">
        <v>4</v>
      </c>
      <c r="G127" s="12" t="n">
        <v>0.3</v>
      </c>
      <c r="H127" s="13" t="n">
        <f aca="false">B127*D127/100</f>
        <v>6.25</v>
      </c>
      <c r="I127" s="13" t="n">
        <f aca="false">B127*E127/100</f>
        <v>0.25</v>
      </c>
      <c r="J127" s="13" t="n">
        <f aca="false">B127*F127/100</f>
        <v>1</v>
      </c>
      <c r="K127" s="13" t="n">
        <f aca="false">B127*G127/100</f>
        <v>0.075</v>
      </c>
    </row>
    <row r="128" customFormat="false" ht="15" hidden="false" customHeight="false" outlineLevel="0" collapsed="false">
      <c r="A128" s="5" t="s">
        <v>117</v>
      </c>
      <c r="B128" s="12" t="n">
        <v>40</v>
      </c>
      <c r="C128" s="4" t="s">
        <v>69</v>
      </c>
      <c r="D128" s="12" t="n">
        <v>40</v>
      </c>
      <c r="E128" s="12" t="n">
        <v>1</v>
      </c>
      <c r="F128" s="12" t="n">
        <v>8</v>
      </c>
      <c r="G128" s="12" t="n">
        <v>0</v>
      </c>
      <c r="H128" s="13" t="n">
        <f aca="false">B128*D128/100</f>
        <v>16</v>
      </c>
      <c r="I128" s="13" t="n">
        <f aca="false">B128*E128/100</f>
        <v>0.4</v>
      </c>
      <c r="J128" s="13" t="n">
        <f aca="false">B128*F128/100</f>
        <v>3.2</v>
      </c>
      <c r="K128" s="13" t="n">
        <f aca="false">B128*G128/100</f>
        <v>0</v>
      </c>
    </row>
    <row r="129" customFormat="false" ht="15" hidden="false" customHeight="false" outlineLevel="0" collapsed="false">
      <c r="A129" s="5" t="s">
        <v>91</v>
      </c>
      <c r="B129" s="12" t="n">
        <v>90</v>
      </c>
      <c r="C129" s="4" t="s">
        <v>69</v>
      </c>
      <c r="D129" s="12" t="n">
        <v>350</v>
      </c>
      <c r="E129" s="12" t="n">
        <v>7</v>
      </c>
      <c r="F129" s="12" t="n">
        <v>78</v>
      </c>
      <c r="G129" s="12" t="n">
        <v>0.6</v>
      </c>
      <c r="H129" s="13" t="n">
        <f aca="false">B129*D129/100</f>
        <v>315</v>
      </c>
      <c r="I129" s="13" t="n">
        <f aca="false">B129*E129/100</f>
        <v>6.3</v>
      </c>
      <c r="J129" s="13" t="n">
        <f aca="false">B129*F129/100</f>
        <v>70.2</v>
      </c>
      <c r="K129" s="13" t="n">
        <f aca="false">B129*G129/100</f>
        <v>0.54</v>
      </c>
    </row>
    <row r="130" customFormat="false" ht="15" hidden="false" customHeight="false" outlineLevel="0" collapsed="false">
      <c r="A130" s="5" t="s">
        <v>287</v>
      </c>
      <c r="B130" s="12" t="n">
        <v>3</v>
      </c>
      <c r="C130" s="4" t="s">
        <v>69</v>
      </c>
      <c r="D130" s="12" t="n">
        <v>150</v>
      </c>
      <c r="E130" s="12" t="n">
        <v>10</v>
      </c>
      <c r="F130" s="12" t="n">
        <v>15</v>
      </c>
      <c r="G130" s="12" t="n">
        <v>8</v>
      </c>
      <c r="H130" s="13" t="n">
        <f aca="false">B130*D130/100</f>
        <v>4.5</v>
      </c>
      <c r="I130" s="13" t="n">
        <f aca="false">B130*E130/100</f>
        <v>0.3</v>
      </c>
      <c r="J130" s="13" t="n">
        <f aca="false">B130*F130/100</f>
        <v>0.45</v>
      </c>
      <c r="K130" s="13" t="n">
        <f aca="false">B130*G130/100</f>
        <v>0.24</v>
      </c>
    </row>
    <row r="131" customFormat="false" ht="15" hidden="false" customHeight="false" outlineLevel="0" collapsed="false">
      <c r="A131" s="5" t="s">
        <v>174</v>
      </c>
      <c r="B131" s="12" t="n">
        <v>200</v>
      </c>
      <c r="C131" s="4" t="s">
        <v>74</v>
      </c>
      <c r="D131" s="12" t="n">
        <v>0</v>
      </c>
      <c r="E131" s="12" t="n">
        <v>0</v>
      </c>
      <c r="F131" s="12" t="n">
        <v>0</v>
      </c>
      <c r="G131" s="12" t="n">
        <v>0</v>
      </c>
      <c r="H131" s="13" t="n">
        <f aca="false">B131*D131/100</f>
        <v>0</v>
      </c>
      <c r="I131" s="13" t="n">
        <f aca="false">B131*E131/100</f>
        <v>0</v>
      </c>
      <c r="J131" s="13" t="n">
        <f aca="false">B131*F131/100</f>
        <v>0</v>
      </c>
      <c r="K131" s="13" t="n">
        <f aca="false">B131*G131/100</f>
        <v>0</v>
      </c>
    </row>
    <row r="132" customFormat="false" ht="15" hidden="false" customHeight="false" outlineLevel="0" collapsed="false">
      <c r="A132" s="5" t="s">
        <v>88</v>
      </c>
      <c r="B132" s="12" t="n">
        <v>10</v>
      </c>
      <c r="C132" s="4" t="s">
        <v>74</v>
      </c>
      <c r="D132" s="12" t="n">
        <v>900</v>
      </c>
      <c r="E132" s="12" t="n">
        <v>0</v>
      </c>
      <c r="F132" s="12" t="n">
        <v>0</v>
      </c>
      <c r="G132" s="12" t="n">
        <v>100</v>
      </c>
      <c r="H132" s="13" t="n">
        <f aca="false">B132*D132/100</f>
        <v>90</v>
      </c>
      <c r="I132" s="13" t="n">
        <f aca="false">B132*E132/100</f>
        <v>0</v>
      </c>
      <c r="J132" s="13" t="n">
        <f aca="false">B132*F132/100</f>
        <v>0</v>
      </c>
      <c r="K132" s="13" t="n">
        <f aca="false">B132*G132/100</f>
        <v>10</v>
      </c>
    </row>
    <row r="133" customFormat="false" ht="15" hidden="false" customHeight="false" outlineLevel="0" collapsed="false">
      <c r="A133" s="5" t="s">
        <v>95</v>
      </c>
      <c r="B133" s="12" t="n">
        <v>0.5</v>
      </c>
      <c r="C133" s="4" t="s">
        <v>69</v>
      </c>
      <c r="D133" s="12" t="n">
        <v>0</v>
      </c>
      <c r="E133" s="12" t="n">
        <v>0</v>
      </c>
      <c r="F133" s="12" t="n">
        <v>0</v>
      </c>
      <c r="G133" s="12" t="n">
        <v>0</v>
      </c>
      <c r="H133" s="13" t="n">
        <f aca="false">B133*D133/100</f>
        <v>0</v>
      </c>
      <c r="I133" s="13" t="n">
        <f aca="false">B133*E133/100</f>
        <v>0</v>
      </c>
      <c r="J133" s="13" t="n">
        <f aca="false">B133*F133/100</f>
        <v>0</v>
      </c>
      <c r="K133" s="13" t="n">
        <f aca="false">B133*G133/100</f>
        <v>0</v>
      </c>
    </row>
    <row r="134" customFormat="false" ht="15" hidden="false" customHeight="false" outlineLevel="0" collapsed="false">
      <c r="A134" s="5" t="s">
        <v>98</v>
      </c>
      <c r="B134" s="12" t="n">
        <v>0.5</v>
      </c>
      <c r="C134" s="4" t="s">
        <v>69</v>
      </c>
      <c r="D134" s="12" t="n">
        <v>0</v>
      </c>
      <c r="E134" s="12" t="n">
        <v>0</v>
      </c>
      <c r="F134" s="12" t="n">
        <v>0</v>
      </c>
      <c r="G134" s="12" t="n">
        <v>0</v>
      </c>
      <c r="H134" s="13" t="n">
        <f aca="false">B134*D134/100</f>
        <v>0</v>
      </c>
      <c r="I134" s="13" t="n">
        <f aca="false">B134*E134/100</f>
        <v>0</v>
      </c>
      <c r="J134" s="13" t="n">
        <f aca="false">B134*F134/100</f>
        <v>0</v>
      </c>
      <c r="K134" s="13" t="n">
        <f aca="false">B134*G134/100</f>
        <v>0</v>
      </c>
    </row>
    <row r="135" customFormat="false" ht="15" hidden="false" customHeight="false" outlineLevel="0" collapsed="false">
      <c r="A135" s="9" t="s">
        <v>637</v>
      </c>
      <c r="H135" s="14" t="n">
        <f aca="false">SUM(H125:H134)</f>
        <v>708</v>
      </c>
      <c r="I135" s="14" t="n">
        <f aca="false">SUM(I125:I134)</f>
        <v>20.7</v>
      </c>
      <c r="J135" s="14" t="n">
        <f aca="false">SUM(J125:J134)</f>
        <v>77.05</v>
      </c>
      <c r="K135" s="14" t="n">
        <f aca="false">SUM(K125:K134)</f>
        <v>34.93</v>
      </c>
      <c r="L135" s="9" t="str">
        <f aca="false">IF(H135&gt;=700,"≥ 700 kcal OK","&lt; 700 kcal")</f>
        <v>≥ 700 kcal OK</v>
      </c>
    </row>
    <row r="136" customFormat="false" ht="15" hidden="false" customHeight="false" outlineLevel="0" collapsed="false">
      <c r="A136" s="9" t="s">
        <v>638</v>
      </c>
      <c r="H136" s="7" t="n">
        <f aca="false">H135*2</f>
        <v>1416</v>
      </c>
      <c r="I136" s="7" t="n">
        <f aca="false">I135*2</f>
        <v>41.4</v>
      </c>
      <c r="J136" s="7" t="n">
        <f aca="false">J135*2</f>
        <v>154.1</v>
      </c>
      <c r="K136" s="7" t="n">
        <f aca="false">K135*2</f>
        <v>69.86</v>
      </c>
    </row>
    <row r="137" customFormat="false" ht="15" hidden="false" customHeight="false" outlineLevel="0" collapsed="false">
      <c r="A137" s="4" t="s">
        <v>639</v>
      </c>
      <c r="I137" s="15" t="n">
        <f aca="false">I135*4/H135</f>
        <v>0.116949152542373</v>
      </c>
      <c r="J137" s="15" t="n">
        <f aca="false">J135*4/H135</f>
        <v>0.435310734463277</v>
      </c>
      <c r="K137" s="15" t="n">
        <f aca="false">K135*9/H135</f>
        <v>0.444025423728814</v>
      </c>
    </row>
    <row r="139" customFormat="false" ht="16.15" hidden="false" customHeight="false" outlineLevel="0" collapsed="false">
      <c r="A139" s="1" t="s">
        <v>297</v>
      </c>
    </row>
    <row r="140" customFormat="false" ht="26.85" hidden="false" customHeight="false" outlineLevel="0" collapsed="false">
      <c r="A140" s="3" t="s">
        <v>626</v>
      </c>
      <c r="B140" s="3" t="s">
        <v>627</v>
      </c>
      <c r="C140" s="3" t="s">
        <v>64</v>
      </c>
      <c r="D140" s="3" t="s">
        <v>628</v>
      </c>
      <c r="E140" s="3" t="s">
        <v>629</v>
      </c>
      <c r="F140" s="3" t="s">
        <v>630</v>
      </c>
      <c r="G140" s="3" t="s">
        <v>631</v>
      </c>
      <c r="H140" s="3" t="s">
        <v>632</v>
      </c>
      <c r="I140" s="3" t="s">
        <v>633</v>
      </c>
      <c r="J140" s="3" t="s">
        <v>634</v>
      </c>
      <c r="K140" s="3" t="s">
        <v>635</v>
      </c>
      <c r="L140" s="3" t="s">
        <v>636</v>
      </c>
    </row>
    <row r="141" customFormat="false" ht="15" hidden="false" customHeight="false" outlineLevel="0" collapsed="false">
      <c r="A141" s="5" t="s">
        <v>302</v>
      </c>
      <c r="B141" s="12" t="n">
        <v>150</v>
      </c>
      <c r="C141" s="4" t="s">
        <v>69</v>
      </c>
      <c r="D141" s="12" t="n">
        <v>230</v>
      </c>
      <c r="E141" s="12" t="n">
        <v>17</v>
      </c>
      <c r="F141" s="12" t="n">
        <v>0</v>
      </c>
      <c r="G141" s="12" t="n">
        <v>18</v>
      </c>
      <c r="H141" s="13" t="n">
        <f aca="false">B141*D141/100</f>
        <v>345</v>
      </c>
      <c r="I141" s="13" t="n">
        <f aca="false">B141*E141/100</f>
        <v>25.5</v>
      </c>
      <c r="J141" s="13" t="n">
        <f aca="false">B141*F141/100</f>
        <v>0</v>
      </c>
      <c r="K141" s="13" t="n">
        <f aca="false">B141*G141/100</f>
        <v>27</v>
      </c>
    </row>
    <row r="142" customFormat="false" ht="15" hidden="false" customHeight="false" outlineLevel="0" collapsed="false">
      <c r="A142" s="5" t="s">
        <v>304</v>
      </c>
      <c r="B142" s="12" t="n">
        <v>15</v>
      </c>
      <c r="C142" s="4" t="s">
        <v>69</v>
      </c>
      <c r="D142" s="12" t="n">
        <v>150</v>
      </c>
      <c r="E142" s="12" t="n">
        <v>6</v>
      </c>
      <c r="F142" s="12" t="n">
        <v>6</v>
      </c>
      <c r="G142" s="12" t="n">
        <v>10</v>
      </c>
      <c r="H142" s="13" t="n">
        <f aca="false">B142*D142/100</f>
        <v>22.5</v>
      </c>
      <c r="I142" s="13" t="n">
        <f aca="false">B142*E142/100</f>
        <v>0.9</v>
      </c>
      <c r="J142" s="13" t="n">
        <f aca="false">B142*F142/100</f>
        <v>0.9</v>
      </c>
      <c r="K142" s="13" t="n">
        <f aca="false">B142*G142/100</f>
        <v>1.5</v>
      </c>
    </row>
    <row r="143" customFormat="false" ht="15" hidden="false" customHeight="false" outlineLevel="0" collapsed="false">
      <c r="A143" s="5" t="s">
        <v>143</v>
      </c>
      <c r="B143" s="12" t="n">
        <v>40</v>
      </c>
      <c r="C143" s="4" t="s">
        <v>69</v>
      </c>
      <c r="D143" s="12" t="n">
        <v>165</v>
      </c>
      <c r="E143" s="12" t="n">
        <v>2.5</v>
      </c>
      <c r="F143" s="12" t="n">
        <v>4</v>
      </c>
      <c r="G143" s="12" t="n">
        <v>15</v>
      </c>
      <c r="H143" s="13" t="n">
        <f aca="false">B143*D143/100</f>
        <v>66</v>
      </c>
      <c r="I143" s="13" t="n">
        <f aca="false">B143*E143/100</f>
        <v>1</v>
      </c>
      <c r="J143" s="13" t="n">
        <f aca="false">B143*F143/100</f>
        <v>1.6</v>
      </c>
      <c r="K143" s="13" t="n">
        <f aca="false">B143*G143/100</f>
        <v>6</v>
      </c>
    </row>
    <row r="144" customFormat="false" ht="15" hidden="false" customHeight="false" outlineLevel="0" collapsed="false">
      <c r="A144" s="5" t="s">
        <v>306</v>
      </c>
      <c r="B144" s="12" t="n">
        <v>10</v>
      </c>
      <c r="C144" s="4" t="s">
        <v>69</v>
      </c>
      <c r="D144" s="12" t="n">
        <v>750</v>
      </c>
      <c r="E144" s="12" t="n">
        <v>0.5</v>
      </c>
      <c r="F144" s="12" t="n">
        <v>0.5</v>
      </c>
      <c r="G144" s="12" t="n">
        <v>82</v>
      </c>
      <c r="H144" s="13" t="n">
        <f aca="false">B144*D144/100</f>
        <v>75</v>
      </c>
      <c r="I144" s="13" t="n">
        <f aca="false">B144*E144/100</f>
        <v>0.05</v>
      </c>
      <c r="J144" s="13" t="n">
        <f aca="false">B144*F144/100</f>
        <v>0.05</v>
      </c>
      <c r="K144" s="13" t="n">
        <f aca="false">B144*G144/100</f>
        <v>8.2</v>
      </c>
    </row>
    <row r="145" customFormat="false" ht="15" hidden="false" customHeight="false" outlineLevel="0" collapsed="false">
      <c r="A145" s="5" t="s">
        <v>223</v>
      </c>
      <c r="B145" s="12" t="n">
        <v>100</v>
      </c>
      <c r="C145" s="4" t="s">
        <v>69</v>
      </c>
      <c r="D145" s="12" t="n">
        <v>355</v>
      </c>
      <c r="E145" s="12" t="n">
        <v>12</v>
      </c>
      <c r="F145" s="12" t="n">
        <v>72</v>
      </c>
      <c r="G145" s="12" t="n">
        <v>1.5</v>
      </c>
      <c r="H145" s="13" t="n">
        <f aca="false">B145*D145/100</f>
        <v>355</v>
      </c>
      <c r="I145" s="13" t="n">
        <f aca="false">B145*E145/100</f>
        <v>12</v>
      </c>
      <c r="J145" s="13" t="n">
        <f aca="false">B145*F145/100</f>
        <v>72</v>
      </c>
      <c r="K145" s="13" t="n">
        <f aca="false">B145*G145/100</f>
        <v>1.5</v>
      </c>
    </row>
    <row r="146" customFormat="false" ht="15" hidden="false" customHeight="false" outlineLevel="0" collapsed="false">
      <c r="A146" s="5" t="s">
        <v>98</v>
      </c>
      <c r="B146" s="12" t="n">
        <v>1</v>
      </c>
      <c r="C146" s="4" t="s">
        <v>69</v>
      </c>
      <c r="D146" s="12" t="n">
        <v>0</v>
      </c>
      <c r="E146" s="12" t="n">
        <v>0</v>
      </c>
      <c r="F146" s="12" t="n">
        <v>0</v>
      </c>
      <c r="G146" s="12" t="n">
        <v>0</v>
      </c>
      <c r="H146" s="13" t="n">
        <f aca="false">B146*D146/100</f>
        <v>0</v>
      </c>
      <c r="I146" s="13" t="n">
        <f aca="false">B146*E146/100</f>
        <v>0</v>
      </c>
      <c r="J146" s="13" t="n">
        <f aca="false">B146*F146/100</f>
        <v>0</v>
      </c>
      <c r="K146" s="13" t="n">
        <f aca="false">B146*G146/100</f>
        <v>0</v>
      </c>
    </row>
    <row r="147" customFormat="false" ht="15" hidden="false" customHeight="false" outlineLevel="0" collapsed="false">
      <c r="A147" s="5" t="s">
        <v>95</v>
      </c>
      <c r="B147" s="12" t="n">
        <v>0</v>
      </c>
      <c r="C147" s="4" t="s">
        <v>69</v>
      </c>
      <c r="D147" s="12" t="n">
        <v>0</v>
      </c>
      <c r="E147" s="12" t="n">
        <v>0</v>
      </c>
      <c r="F147" s="12" t="n">
        <v>0</v>
      </c>
      <c r="G147" s="12" t="n">
        <v>0</v>
      </c>
      <c r="H147" s="13" t="n">
        <f aca="false">B147*D147/100</f>
        <v>0</v>
      </c>
      <c r="I147" s="13" t="n">
        <f aca="false">B147*E147/100</f>
        <v>0</v>
      </c>
      <c r="J147" s="13" t="n">
        <f aca="false">B147*F147/100</f>
        <v>0</v>
      </c>
      <c r="K147" s="13" t="n">
        <f aca="false">B147*G147/100</f>
        <v>0</v>
      </c>
    </row>
    <row r="148" customFormat="false" ht="15" hidden="false" customHeight="false" outlineLevel="0" collapsed="false">
      <c r="A148" s="9" t="s">
        <v>637</v>
      </c>
      <c r="H148" s="14" t="n">
        <f aca="false">SUM(H141:H147)</f>
        <v>863.5</v>
      </c>
      <c r="I148" s="14" t="n">
        <f aca="false">SUM(I141:I147)</f>
        <v>39.45</v>
      </c>
      <c r="J148" s="14" t="n">
        <f aca="false">SUM(J141:J147)</f>
        <v>74.55</v>
      </c>
      <c r="K148" s="14" t="n">
        <f aca="false">SUM(K141:K147)</f>
        <v>44.2</v>
      </c>
      <c r="L148" s="9" t="str">
        <f aca="false">IF(H148&gt;=700,"≥ 700 kcal OK","&lt; 700 kcal")</f>
        <v>≥ 700 kcal OK</v>
      </c>
    </row>
    <row r="149" customFormat="false" ht="15" hidden="false" customHeight="false" outlineLevel="0" collapsed="false">
      <c r="A149" s="9" t="s">
        <v>638</v>
      </c>
      <c r="H149" s="7" t="n">
        <f aca="false">H148*2</f>
        <v>1727</v>
      </c>
      <c r="I149" s="7" t="n">
        <f aca="false">I148*2</f>
        <v>78.9</v>
      </c>
      <c r="J149" s="7" t="n">
        <f aca="false">J148*2</f>
        <v>149.1</v>
      </c>
      <c r="K149" s="7" t="n">
        <f aca="false">K148*2</f>
        <v>88.4</v>
      </c>
    </row>
    <row r="150" customFormat="false" ht="15" hidden="false" customHeight="false" outlineLevel="0" collapsed="false">
      <c r="A150" s="4" t="s">
        <v>639</v>
      </c>
      <c r="I150" s="15" t="n">
        <f aca="false">I148*4/H148</f>
        <v>0.182744643891141</v>
      </c>
      <c r="J150" s="15" t="n">
        <f aca="false">J148*4/H148</f>
        <v>0.345338737695426</v>
      </c>
      <c r="K150" s="15" t="n">
        <f aca="false">K148*9/H148</f>
        <v>0.460683265778807</v>
      </c>
    </row>
    <row r="152" customFormat="false" ht="16.15" hidden="false" customHeight="false" outlineLevel="0" collapsed="false">
      <c r="A152" s="1" t="s">
        <v>318</v>
      </c>
    </row>
    <row r="153" customFormat="false" ht="26.85" hidden="false" customHeight="false" outlineLevel="0" collapsed="false">
      <c r="A153" s="3" t="s">
        <v>626</v>
      </c>
      <c r="B153" s="3" t="s">
        <v>627</v>
      </c>
      <c r="C153" s="3" t="s">
        <v>64</v>
      </c>
      <c r="D153" s="3" t="s">
        <v>628</v>
      </c>
      <c r="E153" s="3" t="s">
        <v>629</v>
      </c>
      <c r="F153" s="3" t="s">
        <v>630</v>
      </c>
      <c r="G153" s="3" t="s">
        <v>631</v>
      </c>
      <c r="H153" s="3" t="s">
        <v>632</v>
      </c>
      <c r="I153" s="3" t="s">
        <v>633</v>
      </c>
      <c r="J153" s="3" t="s">
        <v>634</v>
      </c>
      <c r="K153" s="3" t="s">
        <v>635</v>
      </c>
      <c r="L153" s="3" t="s">
        <v>636</v>
      </c>
    </row>
    <row r="154" customFormat="false" ht="15" hidden="false" customHeight="false" outlineLevel="0" collapsed="false">
      <c r="A154" s="5" t="s">
        <v>321</v>
      </c>
      <c r="B154" s="12" t="n">
        <v>250</v>
      </c>
      <c r="C154" s="4" t="s">
        <v>69</v>
      </c>
      <c r="D154" s="12" t="n">
        <v>260</v>
      </c>
      <c r="E154" s="12" t="n">
        <v>11</v>
      </c>
      <c r="F154" s="12" t="n">
        <v>35</v>
      </c>
      <c r="G154" s="12" t="n">
        <v>8</v>
      </c>
      <c r="H154" s="13" t="n">
        <f aca="false">B154*D154/100</f>
        <v>650</v>
      </c>
      <c r="I154" s="13" t="n">
        <f aca="false">B154*E154/100</f>
        <v>27.5</v>
      </c>
      <c r="J154" s="13" t="n">
        <f aca="false">B154*F154/100</f>
        <v>87.5</v>
      </c>
      <c r="K154" s="13" t="n">
        <f aca="false">B154*G154/100</f>
        <v>20</v>
      </c>
    </row>
    <row r="155" customFormat="false" ht="15" hidden="false" customHeight="false" outlineLevel="0" collapsed="false">
      <c r="A155" s="5" t="s">
        <v>324</v>
      </c>
      <c r="B155" s="12" t="n">
        <v>30</v>
      </c>
      <c r="C155" s="4" t="s">
        <v>69</v>
      </c>
      <c r="D155" s="12" t="n">
        <v>40</v>
      </c>
      <c r="E155" s="12" t="n">
        <v>1</v>
      </c>
      <c r="F155" s="12" t="n">
        <v>8</v>
      </c>
      <c r="G155" s="12" t="n">
        <v>0</v>
      </c>
      <c r="H155" s="13" t="n">
        <f aca="false">B155*D155/100</f>
        <v>12</v>
      </c>
      <c r="I155" s="13" t="n">
        <f aca="false">B155*E155/100</f>
        <v>0.3</v>
      </c>
      <c r="J155" s="13" t="n">
        <f aca="false">B155*F155/100</f>
        <v>2.4</v>
      </c>
      <c r="K155" s="13" t="n">
        <f aca="false">B155*G155/100</f>
        <v>0</v>
      </c>
    </row>
    <row r="156" customFormat="false" ht="15" hidden="false" customHeight="false" outlineLevel="0" collapsed="false">
      <c r="A156" s="5" t="s">
        <v>168</v>
      </c>
      <c r="B156" s="12" t="n">
        <v>10</v>
      </c>
      <c r="C156" s="4" t="s">
        <v>74</v>
      </c>
      <c r="D156" s="12" t="n">
        <v>900</v>
      </c>
      <c r="E156" s="12" t="n">
        <v>0</v>
      </c>
      <c r="F156" s="12" t="n">
        <v>0</v>
      </c>
      <c r="G156" s="12" t="n">
        <v>100</v>
      </c>
      <c r="H156" s="13" t="n">
        <f aca="false">B156*D156/100</f>
        <v>90</v>
      </c>
      <c r="I156" s="13" t="n">
        <f aca="false">B156*E156/100</f>
        <v>0</v>
      </c>
      <c r="J156" s="13" t="n">
        <f aca="false">B156*F156/100</f>
        <v>0</v>
      </c>
      <c r="K156" s="13" t="n">
        <f aca="false">B156*G156/100</f>
        <v>10</v>
      </c>
    </row>
    <row r="157" customFormat="false" ht="15" hidden="false" customHeight="false" outlineLevel="0" collapsed="false">
      <c r="A157" s="5" t="s">
        <v>325</v>
      </c>
      <c r="B157" s="12" t="n">
        <v>40</v>
      </c>
      <c r="C157" s="4" t="s">
        <v>69</v>
      </c>
      <c r="D157" s="12" t="n">
        <v>25</v>
      </c>
      <c r="E157" s="12" t="n">
        <v>1</v>
      </c>
      <c r="F157" s="12" t="n">
        <v>4</v>
      </c>
      <c r="G157" s="12" t="n">
        <v>0.3</v>
      </c>
      <c r="H157" s="13" t="n">
        <f aca="false">B157*D157/100</f>
        <v>10</v>
      </c>
      <c r="I157" s="13" t="n">
        <f aca="false">B157*E157/100</f>
        <v>0.4</v>
      </c>
      <c r="J157" s="13" t="n">
        <f aca="false">B157*F157/100</f>
        <v>1.6</v>
      </c>
      <c r="K157" s="13" t="n">
        <f aca="false">B157*G157/100</f>
        <v>0.12</v>
      </c>
    </row>
    <row r="158" customFormat="false" ht="15" hidden="false" customHeight="false" outlineLevel="0" collapsed="false">
      <c r="A158" s="5" t="s">
        <v>327</v>
      </c>
      <c r="B158" s="12" t="n">
        <v>100</v>
      </c>
      <c r="C158" s="4" t="s">
        <v>69</v>
      </c>
      <c r="D158" s="12" t="n">
        <v>22</v>
      </c>
      <c r="E158" s="12" t="n">
        <v>1</v>
      </c>
      <c r="F158" s="12" t="n">
        <v>4</v>
      </c>
      <c r="G158" s="12" t="n">
        <v>0.2</v>
      </c>
      <c r="H158" s="13" t="n">
        <f aca="false">B158*D158/100</f>
        <v>22</v>
      </c>
      <c r="I158" s="13" t="n">
        <f aca="false">B158*E158/100</f>
        <v>1</v>
      </c>
      <c r="J158" s="13" t="n">
        <f aca="false">B158*F158/100</f>
        <v>4</v>
      </c>
      <c r="K158" s="13" t="n">
        <f aca="false">B158*G158/100</f>
        <v>0.2</v>
      </c>
    </row>
    <row r="159" customFormat="false" ht="15" hidden="false" customHeight="false" outlineLevel="0" collapsed="false">
      <c r="A159" s="5" t="s">
        <v>212</v>
      </c>
      <c r="B159" s="12" t="n">
        <v>3</v>
      </c>
      <c r="C159" s="4" t="s">
        <v>69</v>
      </c>
      <c r="D159" s="12" t="n">
        <v>330</v>
      </c>
      <c r="E159" s="12" t="n">
        <v>17</v>
      </c>
      <c r="F159" s="12" t="n">
        <v>70</v>
      </c>
      <c r="G159" s="12" t="n">
        <v>1</v>
      </c>
      <c r="H159" s="13" t="n">
        <f aca="false">B159*D159/100</f>
        <v>9.9</v>
      </c>
      <c r="I159" s="13" t="n">
        <f aca="false">B159*E159/100</f>
        <v>0.51</v>
      </c>
      <c r="J159" s="13" t="n">
        <f aca="false">B159*F159/100</f>
        <v>2.1</v>
      </c>
      <c r="K159" s="13" t="n">
        <f aca="false">B159*G159/100</f>
        <v>0.03</v>
      </c>
    </row>
    <row r="160" customFormat="false" ht="15" hidden="false" customHeight="false" outlineLevel="0" collapsed="false">
      <c r="A160" s="5" t="s">
        <v>222</v>
      </c>
      <c r="B160" s="12" t="n">
        <v>1</v>
      </c>
      <c r="C160" s="4" t="s">
        <v>69</v>
      </c>
      <c r="D160" s="12" t="n">
        <v>280</v>
      </c>
      <c r="E160" s="12" t="n">
        <v>20</v>
      </c>
      <c r="F160" s="12" t="n">
        <v>40</v>
      </c>
      <c r="G160" s="12" t="n">
        <v>5</v>
      </c>
      <c r="H160" s="13" t="n">
        <f aca="false">B160*D160/100</f>
        <v>2.8</v>
      </c>
      <c r="I160" s="13" t="n">
        <f aca="false">B160*E160/100</f>
        <v>0.2</v>
      </c>
      <c r="J160" s="13" t="n">
        <f aca="false">B160*F160/100</f>
        <v>0.4</v>
      </c>
      <c r="K160" s="13" t="n">
        <f aca="false">B160*G160/100</f>
        <v>0.05</v>
      </c>
    </row>
    <row r="161" customFormat="false" ht="15" hidden="false" customHeight="false" outlineLevel="0" collapsed="false">
      <c r="A161" s="5" t="s">
        <v>329</v>
      </c>
      <c r="B161" s="12" t="n">
        <v>1</v>
      </c>
      <c r="C161" s="4" t="s">
        <v>69</v>
      </c>
      <c r="D161" s="12" t="n">
        <v>280</v>
      </c>
      <c r="E161" s="12" t="n">
        <v>14</v>
      </c>
      <c r="F161" s="12" t="n">
        <v>50</v>
      </c>
      <c r="G161" s="12" t="n">
        <v>13</v>
      </c>
      <c r="H161" s="13" t="n">
        <f aca="false">B161*D161/100</f>
        <v>2.8</v>
      </c>
      <c r="I161" s="13" t="n">
        <f aca="false">B161*E161/100</f>
        <v>0.14</v>
      </c>
      <c r="J161" s="13" t="n">
        <f aca="false">B161*F161/100</f>
        <v>0.5</v>
      </c>
      <c r="K161" s="13" t="n">
        <f aca="false">B161*G161/100</f>
        <v>0.13</v>
      </c>
    </row>
    <row r="162" customFormat="false" ht="15" hidden="false" customHeight="false" outlineLevel="0" collapsed="false">
      <c r="A162" s="5" t="s">
        <v>332</v>
      </c>
      <c r="B162" s="12" t="n">
        <v>1</v>
      </c>
      <c r="C162" s="4" t="s">
        <v>69</v>
      </c>
      <c r="D162" s="12" t="n">
        <v>300</v>
      </c>
      <c r="E162" s="12" t="n">
        <v>12</v>
      </c>
      <c r="F162" s="12" t="n">
        <v>55</v>
      </c>
      <c r="G162" s="12" t="n">
        <v>18</v>
      </c>
      <c r="H162" s="13" t="n">
        <f aca="false">B162*D162/100</f>
        <v>3</v>
      </c>
      <c r="I162" s="13" t="n">
        <f aca="false">B162*E162/100</f>
        <v>0.12</v>
      </c>
      <c r="J162" s="13" t="n">
        <f aca="false">B162*F162/100</f>
        <v>0.55</v>
      </c>
      <c r="K162" s="13" t="n">
        <f aca="false">B162*G162/100</f>
        <v>0.18</v>
      </c>
    </row>
    <row r="163" customFormat="false" ht="15" hidden="false" customHeight="false" outlineLevel="0" collapsed="false">
      <c r="A163" s="5" t="s">
        <v>334</v>
      </c>
      <c r="B163" s="12" t="n">
        <v>1</v>
      </c>
      <c r="C163" s="4" t="s">
        <v>69</v>
      </c>
      <c r="D163" s="12" t="n">
        <v>230</v>
      </c>
      <c r="E163" s="12" t="n">
        <v>23</v>
      </c>
      <c r="F163" s="12" t="n">
        <v>45</v>
      </c>
      <c r="G163" s="12" t="n">
        <v>4</v>
      </c>
      <c r="H163" s="13" t="n">
        <f aca="false">B163*D163/100</f>
        <v>2.3</v>
      </c>
      <c r="I163" s="13" t="n">
        <f aca="false">B163*E163/100</f>
        <v>0.23</v>
      </c>
      <c r="J163" s="13" t="n">
        <f aca="false">B163*F163/100</f>
        <v>0.45</v>
      </c>
      <c r="K163" s="13" t="n">
        <f aca="false">B163*G163/100</f>
        <v>0.04</v>
      </c>
    </row>
    <row r="164" customFormat="false" ht="15" hidden="false" customHeight="false" outlineLevel="0" collapsed="false">
      <c r="A164" s="5" t="s">
        <v>336</v>
      </c>
      <c r="B164" s="12" t="n">
        <v>0.5</v>
      </c>
      <c r="C164" s="4" t="s">
        <v>69</v>
      </c>
      <c r="D164" s="12" t="n">
        <v>280</v>
      </c>
      <c r="E164" s="12" t="n">
        <v>9</v>
      </c>
      <c r="F164" s="12" t="n">
        <v>60</v>
      </c>
      <c r="G164" s="12" t="n">
        <v>7</v>
      </c>
      <c r="H164" s="13" t="n">
        <f aca="false">B164*D164/100</f>
        <v>1.4</v>
      </c>
      <c r="I164" s="13" t="n">
        <f aca="false">B164*E164/100</f>
        <v>0.045</v>
      </c>
      <c r="J164" s="13" t="n">
        <f aca="false">B164*F164/100</f>
        <v>0.3</v>
      </c>
      <c r="K164" s="13" t="n">
        <f aca="false">B164*G164/100</f>
        <v>0.035</v>
      </c>
    </row>
    <row r="165" customFormat="false" ht="15" hidden="false" customHeight="false" outlineLevel="0" collapsed="false">
      <c r="A165" s="5" t="s">
        <v>338</v>
      </c>
      <c r="B165" s="12" t="n">
        <v>0.5</v>
      </c>
      <c r="C165" s="4" t="s">
        <v>69</v>
      </c>
      <c r="D165" s="12" t="n">
        <v>310</v>
      </c>
      <c r="E165" s="12" t="n">
        <v>8</v>
      </c>
      <c r="F165" s="12" t="n">
        <v>75</v>
      </c>
      <c r="G165" s="12" t="n">
        <v>8</v>
      </c>
      <c r="H165" s="13" t="n">
        <f aca="false">B165*D165/100</f>
        <v>1.55</v>
      </c>
      <c r="I165" s="13" t="n">
        <f aca="false">B165*E165/100</f>
        <v>0.04</v>
      </c>
      <c r="J165" s="13" t="n">
        <f aca="false">B165*F165/100</f>
        <v>0.375</v>
      </c>
      <c r="K165" s="13" t="n">
        <f aca="false">B165*G165/100</f>
        <v>0.04</v>
      </c>
    </row>
    <row r="166" customFormat="false" ht="15" hidden="false" customHeight="false" outlineLevel="0" collapsed="false">
      <c r="A166" s="5" t="s">
        <v>341</v>
      </c>
      <c r="B166" s="12" t="n">
        <v>50</v>
      </c>
      <c r="C166" s="4" t="s">
        <v>74</v>
      </c>
      <c r="D166" s="12" t="n">
        <v>165</v>
      </c>
      <c r="E166" s="12" t="n">
        <v>2.5</v>
      </c>
      <c r="F166" s="12" t="n">
        <v>4</v>
      </c>
      <c r="G166" s="12" t="n">
        <v>15</v>
      </c>
      <c r="H166" s="13" t="n">
        <f aca="false">B166*D166/100</f>
        <v>82.5</v>
      </c>
      <c r="I166" s="13" t="n">
        <f aca="false">B166*E166/100</f>
        <v>1.25</v>
      </c>
      <c r="J166" s="13" t="n">
        <f aca="false">B166*F166/100</f>
        <v>2</v>
      </c>
      <c r="K166" s="13" t="n">
        <f aca="false">B166*G166/100</f>
        <v>7.5</v>
      </c>
    </row>
    <row r="167" customFormat="false" ht="15" hidden="false" customHeight="false" outlineLevel="0" collapsed="false">
      <c r="A167" s="5" t="s">
        <v>174</v>
      </c>
      <c r="B167" s="12" t="n">
        <v>30</v>
      </c>
      <c r="C167" s="4" t="s">
        <v>74</v>
      </c>
      <c r="D167" s="12" t="n">
        <v>0</v>
      </c>
      <c r="E167" s="12" t="n">
        <v>0</v>
      </c>
      <c r="F167" s="12" t="n">
        <v>0</v>
      </c>
      <c r="G167" s="12" t="n">
        <v>0</v>
      </c>
      <c r="H167" s="13" t="n">
        <f aca="false">B167*D167/100</f>
        <v>0</v>
      </c>
      <c r="I167" s="13" t="n">
        <f aca="false">B167*E167/100</f>
        <v>0</v>
      </c>
      <c r="J167" s="13" t="n">
        <f aca="false">B167*F167/100</f>
        <v>0</v>
      </c>
      <c r="K167" s="13" t="n">
        <f aca="false">B167*G167/100</f>
        <v>0</v>
      </c>
    </row>
    <row r="168" customFormat="false" ht="15" hidden="false" customHeight="false" outlineLevel="0" collapsed="false">
      <c r="A168" s="5" t="s">
        <v>344</v>
      </c>
      <c r="B168" s="12" t="n">
        <v>15</v>
      </c>
      <c r="C168" s="4" t="s">
        <v>69</v>
      </c>
      <c r="D168" s="12" t="n">
        <v>390</v>
      </c>
      <c r="E168" s="12" t="n">
        <v>33</v>
      </c>
      <c r="F168" s="12" t="n">
        <v>0</v>
      </c>
      <c r="G168" s="12" t="n">
        <v>28</v>
      </c>
      <c r="H168" s="13" t="n">
        <f aca="false">B168*D168/100</f>
        <v>58.5</v>
      </c>
      <c r="I168" s="13" t="n">
        <f aca="false">B168*E168/100</f>
        <v>4.95</v>
      </c>
      <c r="J168" s="13" t="n">
        <f aca="false">B168*F168/100</f>
        <v>0</v>
      </c>
      <c r="K168" s="13" t="n">
        <f aca="false">B168*G168/100</f>
        <v>4.2</v>
      </c>
    </row>
    <row r="169" customFormat="false" ht="15" hidden="false" customHeight="false" outlineLevel="0" collapsed="false">
      <c r="A169" s="5" t="s">
        <v>95</v>
      </c>
      <c r="B169" s="12" t="n">
        <v>1</v>
      </c>
      <c r="C169" s="4" t="s">
        <v>69</v>
      </c>
      <c r="D169" s="12" t="n">
        <v>0</v>
      </c>
      <c r="E169" s="12" t="n">
        <v>0</v>
      </c>
      <c r="F169" s="12" t="n">
        <v>0</v>
      </c>
      <c r="G169" s="12" t="n">
        <v>0</v>
      </c>
      <c r="H169" s="13" t="n">
        <f aca="false">B169*D169/100</f>
        <v>0</v>
      </c>
      <c r="I169" s="13" t="n">
        <f aca="false">B169*E169/100</f>
        <v>0</v>
      </c>
      <c r="J169" s="13" t="n">
        <f aca="false">B169*F169/100</f>
        <v>0</v>
      </c>
      <c r="K169" s="13" t="n">
        <f aca="false">B169*G169/100</f>
        <v>0</v>
      </c>
    </row>
    <row r="170" customFormat="false" ht="15" hidden="false" customHeight="false" outlineLevel="0" collapsed="false">
      <c r="A170" s="5" t="s">
        <v>98</v>
      </c>
      <c r="B170" s="12" t="n">
        <v>0.5</v>
      </c>
      <c r="C170" s="4" t="s">
        <v>69</v>
      </c>
      <c r="D170" s="12" t="n">
        <v>0</v>
      </c>
      <c r="E170" s="12" t="n">
        <v>0</v>
      </c>
      <c r="F170" s="12" t="n">
        <v>0</v>
      </c>
      <c r="G170" s="12" t="n">
        <v>0</v>
      </c>
      <c r="H170" s="13" t="n">
        <f aca="false">B170*D170/100</f>
        <v>0</v>
      </c>
      <c r="I170" s="13" t="n">
        <f aca="false">B170*E170/100</f>
        <v>0</v>
      </c>
      <c r="J170" s="13" t="n">
        <f aca="false">B170*F170/100</f>
        <v>0</v>
      </c>
      <c r="K170" s="13" t="n">
        <f aca="false">B170*G170/100</f>
        <v>0</v>
      </c>
    </row>
    <row r="171" customFormat="false" ht="15" hidden="false" customHeight="false" outlineLevel="0" collapsed="false">
      <c r="A171" s="9" t="s">
        <v>637</v>
      </c>
      <c r="H171" s="14" t="n">
        <f aca="false">SUM(H154:H170)</f>
        <v>948.75</v>
      </c>
      <c r="I171" s="14" t="n">
        <f aca="false">SUM(I154:I170)</f>
        <v>36.685</v>
      </c>
      <c r="J171" s="14" t="n">
        <f aca="false">SUM(J154:J170)</f>
        <v>102.175</v>
      </c>
      <c r="K171" s="14" t="n">
        <f aca="false">SUM(K154:K170)</f>
        <v>42.525</v>
      </c>
      <c r="L171" s="9" t="str">
        <f aca="false">IF(H171&gt;=700,"≥ 700 kcal OK","&lt; 700 kcal")</f>
        <v>≥ 700 kcal OK</v>
      </c>
    </row>
    <row r="172" customFormat="false" ht="15" hidden="false" customHeight="false" outlineLevel="0" collapsed="false">
      <c r="A172" s="9" t="s">
        <v>638</v>
      </c>
      <c r="H172" s="7" t="n">
        <f aca="false">H171*2</f>
        <v>1897.5</v>
      </c>
      <c r="I172" s="7" t="n">
        <f aca="false">I171*2</f>
        <v>73.37</v>
      </c>
      <c r="J172" s="7" t="n">
        <f aca="false">J171*2</f>
        <v>204.35</v>
      </c>
      <c r="K172" s="7" t="n">
        <f aca="false">K171*2</f>
        <v>85.05</v>
      </c>
    </row>
    <row r="173" customFormat="false" ht="15" hidden="false" customHeight="false" outlineLevel="0" collapsed="false">
      <c r="A173" s="4" t="s">
        <v>639</v>
      </c>
      <c r="I173" s="15" t="n">
        <f aca="false">I171*4/H171</f>
        <v>0.154666666666667</v>
      </c>
      <c r="J173" s="15" t="n">
        <f aca="false">J171*4/H171</f>
        <v>0.430777338603426</v>
      </c>
      <c r="K173" s="15" t="n">
        <f aca="false">K171*9/H171</f>
        <v>0.403399209486166</v>
      </c>
    </row>
    <row r="175" customFormat="false" ht="16.15" hidden="false" customHeight="false" outlineLevel="0" collapsed="false">
      <c r="A175" s="1" t="s">
        <v>354</v>
      </c>
    </row>
    <row r="176" customFormat="false" ht="26.85" hidden="false" customHeight="false" outlineLevel="0" collapsed="false">
      <c r="A176" s="3" t="s">
        <v>626</v>
      </c>
      <c r="B176" s="3" t="s">
        <v>627</v>
      </c>
      <c r="C176" s="3" t="s">
        <v>64</v>
      </c>
      <c r="D176" s="3" t="s">
        <v>628</v>
      </c>
      <c r="E176" s="3" t="s">
        <v>629</v>
      </c>
      <c r="F176" s="3" t="s">
        <v>630</v>
      </c>
      <c r="G176" s="3" t="s">
        <v>631</v>
      </c>
      <c r="H176" s="3" t="s">
        <v>632</v>
      </c>
      <c r="I176" s="3" t="s">
        <v>633</v>
      </c>
      <c r="J176" s="3" t="s">
        <v>634</v>
      </c>
      <c r="K176" s="3" t="s">
        <v>635</v>
      </c>
      <c r="L176" s="3" t="s">
        <v>636</v>
      </c>
    </row>
    <row r="177" customFormat="false" ht="15" hidden="false" customHeight="false" outlineLevel="0" collapsed="false">
      <c r="A177" s="5" t="s">
        <v>359</v>
      </c>
      <c r="B177" s="12" t="n">
        <v>250</v>
      </c>
      <c r="C177" s="4" t="s">
        <v>69</v>
      </c>
      <c r="D177" s="12" t="n">
        <v>260</v>
      </c>
      <c r="E177" s="12" t="n">
        <v>11</v>
      </c>
      <c r="F177" s="12" t="n">
        <v>35</v>
      </c>
      <c r="G177" s="12" t="n">
        <v>8</v>
      </c>
      <c r="H177" s="13" t="n">
        <f aca="false">B177*D177/100</f>
        <v>650</v>
      </c>
      <c r="I177" s="13" t="n">
        <f aca="false">B177*E177/100</f>
        <v>27.5</v>
      </c>
      <c r="J177" s="13" t="n">
        <f aca="false">B177*F177/100</f>
        <v>87.5</v>
      </c>
      <c r="K177" s="13" t="n">
        <f aca="false">B177*G177/100</f>
        <v>20</v>
      </c>
    </row>
    <row r="178" customFormat="false" ht="15" hidden="false" customHeight="false" outlineLevel="0" collapsed="false">
      <c r="A178" s="5" t="s">
        <v>361</v>
      </c>
      <c r="B178" s="12" t="n">
        <v>60</v>
      </c>
      <c r="C178" s="4" t="s">
        <v>69</v>
      </c>
      <c r="D178" s="12" t="n">
        <v>20</v>
      </c>
      <c r="E178" s="12" t="n">
        <v>1</v>
      </c>
      <c r="F178" s="12" t="n">
        <v>3</v>
      </c>
      <c r="G178" s="12" t="n">
        <v>0.2</v>
      </c>
      <c r="H178" s="13" t="n">
        <f aca="false">B178*D178/100</f>
        <v>12</v>
      </c>
      <c r="I178" s="13" t="n">
        <f aca="false">B178*E178/100</f>
        <v>0.6</v>
      </c>
      <c r="J178" s="13" t="n">
        <f aca="false">B178*F178/100</f>
        <v>1.8</v>
      </c>
      <c r="K178" s="13" t="n">
        <f aca="false">B178*G178/100</f>
        <v>0.12</v>
      </c>
    </row>
    <row r="179" customFormat="false" ht="15" hidden="false" customHeight="false" outlineLevel="0" collapsed="false">
      <c r="A179" s="5" t="s">
        <v>363</v>
      </c>
      <c r="B179" s="12" t="n">
        <v>80</v>
      </c>
      <c r="C179" s="4" t="s">
        <v>74</v>
      </c>
      <c r="D179" s="12" t="n">
        <v>22</v>
      </c>
      <c r="E179" s="12" t="n">
        <v>1</v>
      </c>
      <c r="F179" s="12" t="n">
        <v>4</v>
      </c>
      <c r="G179" s="12" t="n">
        <v>0.2</v>
      </c>
      <c r="H179" s="13" t="n">
        <f aca="false">B179*D179/100</f>
        <v>17.6</v>
      </c>
      <c r="I179" s="13" t="n">
        <f aca="false">B179*E179/100</f>
        <v>0.8</v>
      </c>
      <c r="J179" s="13" t="n">
        <f aca="false">B179*F179/100</f>
        <v>3.2</v>
      </c>
      <c r="K179" s="13" t="n">
        <f aca="false">B179*G179/100</f>
        <v>0.16</v>
      </c>
    </row>
    <row r="180" customFormat="false" ht="15" hidden="false" customHeight="false" outlineLevel="0" collapsed="false">
      <c r="A180" s="5" t="s">
        <v>365</v>
      </c>
      <c r="B180" s="12" t="n">
        <v>40</v>
      </c>
      <c r="C180" s="4" t="s">
        <v>69</v>
      </c>
      <c r="D180" s="12" t="n">
        <v>380</v>
      </c>
      <c r="E180" s="12" t="n">
        <v>28</v>
      </c>
      <c r="F180" s="12" t="n">
        <v>0.5</v>
      </c>
      <c r="G180" s="12" t="n">
        <v>30</v>
      </c>
      <c r="H180" s="13" t="n">
        <f aca="false">B180*D180/100</f>
        <v>152</v>
      </c>
      <c r="I180" s="13" t="n">
        <f aca="false">B180*E180/100</f>
        <v>11.2</v>
      </c>
      <c r="J180" s="13" t="n">
        <f aca="false">B180*F180/100</f>
        <v>0.2</v>
      </c>
      <c r="K180" s="13" t="n">
        <f aca="false">B180*G180/100</f>
        <v>12</v>
      </c>
    </row>
    <row r="181" customFormat="false" ht="15" hidden="false" customHeight="false" outlineLevel="0" collapsed="false">
      <c r="A181" s="5" t="s">
        <v>366</v>
      </c>
      <c r="B181" s="12" t="n">
        <v>2</v>
      </c>
      <c r="C181" s="4" t="s">
        <v>69</v>
      </c>
      <c r="D181" s="12" t="n">
        <v>230</v>
      </c>
      <c r="E181" s="12" t="n">
        <v>23</v>
      </c>
      <c r="F181" s="12" t="n">
        <v>45</v>
      </c>
      <c r="G181" s="12" t="n">
        <v>4</v>
      </c>
      <c r="H181" s="13" t="n">
        <f aca="false">B181*D181/100</f>
        <v>4.6</v>
      </c>
      <c r="I181" s="13" t="n">
        <f aca="false">B181*E181/100</f>
        <v>0.46</v>
      </c>
      <c r="J181" s="13" t="n">
        <f aca="false">B181*F181/100</f>
        <v>0.9</v>
      </c>
      <c r="K181" s="13" t="n">
        <f aca="false">B181*G181/100</f>
        <v>0.08</v>
      </c>
    </row>
    <row r="182" customFormat="false" ht="15" hidden="false" customHeight="false" outlineLevel="0" collapsed="false">
      <c r="A182" s="5" t="s">
        <v>174</v>
      </c>
      <c r="B182" s="12" t="n">
        <v>30</v>
      </c>
      <c r="C182" s="4" t="s">
        <v>74</v>
      </c>
      <c r="D182" s="12" t="n">
        <v>0</v>
      </c>
      <c r="E182" s="12" t="n">
        <v>0</v>
      </c>
      <c r="F182" s="12" t="n">
        <v>0</v>
      </c>
      <c r="G182" s="12" t="n">
        <v>0</v>
      </c>
      <c r="H182" s="13" t="n">
        <f aca="false">B182*D182/100</f>
        <v>0</v>
      </c>
      <c r="I182" s="13" t="n">
        <f aca="false">B182*E182/100</f>
        <v>0</v>
      </c>
      <c r="J182" s="13" t="n">
        <f aca="false">B182*F182/100</f>
        <v>0</v>
      </c>
      <c r="K182" s="13" t="n">
        <f aca="false">B182*G182/100</f>
        <v>0</v>
      </c>
    </row>
    <row r="183" customFormat="false" ht="15" hidden="false" customHeight="false" outlineLevel="0" collapsed="false">
      <c r="A183" s="5" t="s">
        <v>168</v>
      </c>
      <c r="B183" s="12" t="n">
        <v>8</v>
      </c>
      <c r="C183" s="4" t="s">
        <v>74</v>
      </c>
      <c r="D183" s="12" t="n">
        <v>900</v>
      </c>
      <c r="E183" s="12" t="n">
        <v>0</v>
      </c>
      <c r="F183" s="12" t="n">
        <v>0</v>
      </c>
      <c r="G183" s="12" t="n">
        <v>100</v>
      </c>
      <c r="H183" s="13" t="n">
        <f aca="false">B183*D183/100</f>
        <v>72</v>
      </c>
      <c r="I183" s="13" t="n">
        <f aca="false">B183*E183/100</f>
        <v>0</v>
      </c>
      <c r="J183" s="13" t="n">
        <f aca="false">B183*F183/100</f>
        <v>0</v>
      </c>
      <c r="K183" s="13" t="n">
        <f aca="false">B183*G183/100</f>
        <v>8</v>
      </c>
    </row>
    <row r="184" customFormat="false" ht="15" hidden="false" customHeight="false" outlineLevel="0" collapsed="false">
      <c r="A184" s="5" t="s">
        <v>95</v>
      </c>
      <c r="B184" s="12" t="n">
        <v>0.5</v>
      </c>
      <c r="C184" s="4" t="s">
        <v>69</v>
      </c>
      <c r="D184" s="12" t="n">
        <v>0</v>
      </c>
      <c r="E184" s="12" t="n">
        <v>0</v>
      </c>
      <c r="F184" s="12" t="n">
        <v>0</v>
      </c>
      <c r="G184" s="12" t="n">
        <v>0</v>
      </c>
      <c r="H184" s="13" t="n">
        <f aca="false">B184*D184/100</f>
        <v>0</v>
      </c>
      <c r="I184" s="13" t="n">
        <f aca="false">B184*E184/100</f>
        <v>0</v>
      </c>
      <c r="J184" s="13" t="n">
        <f aca="false">B184*F184/100</f>
        <v>0</v>
      </c>
      <c r="K184" s="13" t="n">
        <f aca="false">B184*G184/100</f>
        <v>0</v>
      </c>
    </row>
    <row r="185" customFormat="false" ht="15" hidden="false" customHeight="false" outlineLevel="0" collapsed="false">
      <c r="A185" s="5" t="s">
        <v>98</v>
      </c>
      <c r="B185" s="12" t="n">
        <v>0.5</v>
      </c>
      <c r="C185" s="4" t="s">
        <v>69</v>
      </c>
      <c r="D185" s="12" t="n">
        <v>0</v>
      </c>
      <c r="E185" s="12" t="n">
        <v>0</v>
      </c>
      <c r="F185" s="12" t="n">
        <v>0</v>
      </c>
      <c r="G185" s="12" t="n">
        <v>0</v>
      </c>
      <c r="H185" s="13" t="n">
        <f aca="false">B185*D185/100</f>
        <v>0</v>
      </c>
      <c r="I185" s="13" t="n">
        <f aca="false">B185*E185/100</f>
        <v>0</v>
      </c>
      <c r="J185" s="13" t="n">
        <f aca="false">B185*F185/100</f>
        <v>0</v>
      </c>
      <c r="K185" s="13" t="n">
        <f aca="false">B185*G185/100</f>
        <v>0</v>
      </c>
    </row>
    <row r="186" customFormat="false" ht="15" hidden="false" customHeight="false" outlineLevel="0" collapsed="false">
      <c r="A186" s="9" t="s">
        <v>637</v>
      </c>
      <c r="H186" s="14" t="n">
        <f aca="false">SUM(H177:H185)</f>
        <v>908.2</v>
      </c>
      <c r="I186" s="14" t="n">
        <f aca="false">SUM(I177:I185)</f>
        <v>40.56</v>
      </c>
      <c r="J186" s="14" t="n">
        <f aca="false">SUM(J177:J185)</f>
        <v>93.6</v>
      </c>
      <c r="K186" s="14" t="n">
        <f aca="false">SUM(K177:K185)</f>
        <v>40.36</v>
      </c>
      <c r="L186" s="9" t="str">
        <f aca="false">IF(H186&gt;=700,"≥ 700 kcal OK","&lt; 700 kcal")</f>
        <v>≥ 700 kcal OK</v>
      </c>
    </row>
    <row r="187" customFormat="false" ht="15" hidden="false" customHeight="false" outlineLevel="0" collapsed="false">
      <c r="A187" s="9" t="s">
        <v>638</v>
      </c>
      <c r="H187" s="7" t="n">
        <f aca="false">H186*2</f>
        <v>1816.4</v>
      </c>
      <c r="I187" s="7" t="n">
        <f aca="false">I186*2</f>
        <v>81.12</v>
      </c>
      <c r="J187" s="7" t="n">
        <f aca="false">J186*2</f>
        <v>187.2</v>
      </c>
      <c r="K187" s="7" t="n">
        <f aca="false">K186*2</f>
        <v>80.72</v>
      </c>
    </row>
    <row r="188" customFormat="false" ht="15" hidden="false" customHeight="false" outlineLevel="0" collapsed="false">
      <c r="A188" s="4" t="s">
        <v>639</v>
      </c>
      <c r="I188" s="15" t="n">
        <f aca="false">I186*4/H186</f>
        <v>0.178639066284959</v>
      </c>
      <c r="J188" s="15" t="n">
        <f aca="false">J186*4/H186</f>
        <v>0.412243999119137</v>
      </c>
      <c r="K188" s="15" t="n">
        <f aca="false">K186*9/H186</f>
        <v>0.399955956837701</v>
      </c>
    </row>
    <row r="190" customFormat="false" ht="16.15" hidden="false" customHeight="false" outlineLevel="0" collapsed="false">
      <c r="A190" s="1" t="s">
        <v>373</v>
      </c>
    </row>
    <row r="191" customFormat="false" ht="26.85" hidden="false" customHeight="false" outlineLevel="0" collapsed="false">
      <c r="A191" s="3" t="s">
        <v>626</v>
      </c>
      <c r="B191" s="3" t="s">
        <v>627</v>
      </c>
      <c r="C191" s="3" t="s">
        <v>64</v>
      </c>
      <c r="D191" s="3" t="s">
        <v>628</v>
      </c>
      <c r="E191" s="3" t="s">
        <v>629</v>
      </c>
      <c r="F191" s="3" t="s">
        <v>630</v>
      </c>
      <c r="G191" s="3" t="s">
        <v>631</v>
      </c>
      <c r="H191" s="3" t="s">
        <v>632</v>
      </c>
      <c r="I191" s="3" t="s">
        <v>633</v>
      </c>
      <c r="J191" s="3" t="s">
        <v>634</v>
      </c>
      <c r="K191" s="3" t="s">
        <v>635</v>
      </c>
      <c r="L191" s="3" t="s">
        <v>636</v>
      </c>
    </row>
    <row r="192" customFormat="false" ht="15" hidden="false" customHeight="false" outlineLevel="0" collapsed="false">
      <c r="A192" s="5" t="s">
        <v>378</v>
      </c>
      <c r="B192" s="12" t="n">
        <v>200</v>
      </c>
      <c r="C192" s="4" t="s">
        <v>69</v>
      </c>
      <c r="D192" s="12" t="n">
        <v>300</v>
      </c>
      <c r="E192" s="12" t="n">
        <v>12</v>
      </c>
      <c r="F192" s="12" t="n">
        <v>42</v>
      </c>
      <c r="G192" s="12" t="n">
        <v>9</v>
      </c>
      <c r="H192" s="13" t="n">
        <f aca="false">B192*D192/100</f>
        <v>600</v>
      </c>
      <c r="I192" s="13" t="n">
        <f aca="false">B192*E192/100</f>
        <v>24</v>
      </c>
      <c r="J192" s="13" t="n">
        <f aca="false">B192*F192/100</f>
        <v>84</v>
      </c>
      <c r="K192" s="13" t="n">
        <f aca="false">B192*G192/100</f>
        <v>18</v>
      </c>
    </row>
    <row r="193" customFormat="false" ht="15" hidden="false" customHeight="false" outlineLevel="0" collapsed="false">
      <c r="A193" s="5" t="s">
        <v>381</v>
      </c>
      <c r="B193" s="12" t="n">
        <v>75</v>
      </c>
      <c r="C193" s="4" t="s">
        <v>69</v>
      </c>
      <c r="D193" s="12" t="n">
        <v>20</v>
      </c>
      <c r="E193" s="12" t="n">
        <v>2</v>
      </c>
      <c r="F193" s="12" t="n">
        <v>1</v>
      </c>
      <c r="G193" s="12" t="n">
        <v>0.3</v>
      </c>
      <c r="H193" s="13" t="n">
        <f aca="false">B193*D193/100</f>
        <v>15</v>
      </c>
      <c r="I193" s="13" t="n">
        <f aca="false">B193*E193/100</f>
        <v>1.5</v>
      </c>
      <c r="J193" s="13" t="n">
        <f aca="false">B193*F193/100</f>
        <v>0.75</v>
      </c>
      <c r="K193" s="13" t="n">
        <f aca="false">B193*G193/100</f>
        <v>0.225</v>
      </c>
    </row>
    <row r="194" customFormat="false" ht="15" hidden="false" customHeight="false" outlineLevel="0" collapsed="false">
      <c r="A194" s="5" t="s">
        <v>383</v>
      </c>
      <c r="B194" s="12" t="n">
        <v>30</v>
      </c>
      <c r="C194" s="4" t="s">
        <v>69</v>
      </c>
      <c r="D194" s="12" t="n">
        <v>40</v>
      </c>
      <c r="E194" s="12" t="n">
        <v>1</v>
      </c>
      <c r="F194" s="12" t="n">
        <v>8</v>
      </c>
      <c r="G194" s="12" t="n">
        <v>0</v>
      </c>
      <c r="H194" s="13" t="n">
        <f aca="false">B194*D194/100</f>
        <v>12</v>
      </c>
      <c r="I194" s="13" t="n">
        <f aca="false">B194*E194/100</f>
        <v>0.3</v>
      </c>
      <c r="J194" s="13" t="n">
        <f aca="false">B194*F194/100</f>
        <v>2.4</v>
      </c>
      <c r="K194" s="13" t="n">
        <f aca="false">B194*G194/100</f>
        <v>0</v>
      </c>
    </row>
    <row r="195" customFormat="false" ht="15" hidden="false" customHeight="false" outlineLevel="0" collapsed="false">
      <c r="A195" s="5" t="s">
        <v>212</v>
      </c>
      <c r="B195" s="12" t="n">
        <v>3</v>
      </c>
      <c r="C195" s="4" t="s">
        <v>69</v>
      </c>
      <c r="D195" s="12" t="n">
        <v>330</v>
      </c>
      <c r="E195" s="12" t="n">
        <v>17</v>
      </c>
      <c r="F195" s="12" t="n">
        <v>70</v>
      </c>
      <c r="G195" s="12" t="n">
        <v>1</v>
      </c>
      <c r="H195" s="13" t="n">
        <f aca="false">B195*D195/100</f>
        <v>9.9</v>
      </c>
      <c r="I195" s="13" t="n">
        <f aca="false">B195*E195/100</f>
        <v>0.51</v>
      </c>
      <c r="J195" s="13" t="n">
        <f aca="false">B195*F195/100</f>
        <v>2.1</v>
      </c>
      <c r="K195" s="13" t="n">
        <f aca="false">B195*G195/100</f>
        <v>0.03</v>
      </c>
    </row>
    <row r="196" customFormat="false" ht="15" hidden="false" customHeight="false" outlineLevel="0" collapsed="false">
      <c r="A196" s="5" t="s">
        <v>143</v>
      </c>
      <c r="B196" s="12" t="n">
        <v>60</v>
      </c>
      <c r="C196" s="4" t="s">
        <v>69</v>
      </c>
      <c r="D196" s="12" t="n">
        <v>165</v>
      </c>
      <c r="E196" s="12" t="n">
        <v>2.5</v>
      </c>
      <c r="F196" s="12" t="n">
        <v>4</v>
      </c>
      <c r="G196" s="12" t="n">
        <v>15</v>
      </c>
      <c r="H196" s="13" t="n">
        <f aca="false">B196*D196/100</f>
        <v>99</v>
      </c>
      <c r="I196" s="13" t="n">
        <f aca="false">B196*E196/100</f>
        <v>1.5</v>
      </c>
      <c r="J196" s="13" t="n">
        <f aca="false">B196*F196/100</f>
        <v>2.4</v>
      </c>
      <c r="K196" s="13" t="n">
        <f aca="false">B196*G196/100</f>
        <v>9</v>
      </c>
    </row>
    <row r="197" customFormat="false" ht="15" hidden="false" customHeight="false" outlineLevel="0" collapsed="false">
      <c r="A197" s="5" t="s">
        <v>308</v>
      </c>
      <c r="B197" s="12" t="n">
        <v>5</v>
      </c>
      <c r="C197" s="4" t="s">
        <v>69</v>
      </c>
      <c r="D197" s="12" t="n">
        <v>750</v>
      </c>
      <c r="E197" s="12" t="n">
        <v>0.5</v>
      </c>
      <c r="F197" s="12" t="n">
        <v>0.5</v>
      </c>
      <c r="G197" s="12" t="n">
        <v>82</v>
      </c>
      <c r="H197" s="13" t="n">
        <f aca="false">B197*D197/100</f>
        <v>37.5</v>
      </c>
      <c r="I197" s="13" t="n">
        <f aca="false">B197*E197/100</f>
        <v>0.025</v>
      </c>
      <c r="J197" s="13" t="n">
        <f aca="false">B197*F197/100</f>
        <v>0.025</v>
      </c>
      <c r="K197" s="13" t="n">
        <f aca="false">B197*G197/100</f>
        <v>4.1</v>
      </c>
    </row>
    <row r="198" customFormat="false" ht="15" hidden="false" customHeight="false" outlineLevel="0" collapsed="false">
      <c r="A198" s="5" t="s">
        <v>168</v>
      </c>
      <c r="B198" s="12" t="n">
        <v>5</v>
      </c>
      <c r="C198" s="4" t="s">
        <v>74</v>
      </c>
      <c r="D198" s="12" t="n">
        <v>900</v>
      </c>
      <c r="E198" s="12" t="n">
        <v>0</v>
      </c>
      <c r="F198" s="12" t="n">
        <v>0</v>
      </c>
      <c r="G198" s="12" t="n">
        <v>100</v>
      </c>
      <c r="H198" s="13" t="n">
        <f aca="false">B198*D198/100</f>
        <v>45</v>
      </c>
      <c r="I198" s="13" t="n">
        <f aca="false">B198*E198/100</f>
        <v>0</v>
      </c>
      <c r="J198" s="13" t="n">
        <f aca="false">B198*F198/100</f>
        <v>0</v>
      </c>
      <c r="K198" s="13" t="n">
        <f aca="false">B198*G198/100</f>
        <v>5</v>
      </c>
    </row>
    <row r="199" customFormat="false" ht="15" hidden="false" customHeight="false" outlineLevel="0" collapsed="false">
      <c r="A199" s="5" t="s">
        <v>267</v>
      </c>
      <c r="B199" s="12" t="n">
        <v>15</v>
      </c>
      <c r="C199" s="4" t="s">
        <v>69</v>
      </c>
      <c r="D199" s="12" t="n">
        <v>390</v>
      </c>
      <c r="E199" s="12" t="n">
        <v>33</v>
      </c>
      <c r="F199" s="12" t="n">
        <v>0</v>
      </c>
      <c r="G199" s="12" t="n">
        <v>28</v>
      </c>
      <c r="H199" s="13" t="n">
        <f aca="false">B199*D199/100</f>
        <v>58.5</v>
      </c>
      <c r="I199" s="13" t="n">
        <f aca="false">B199*E199/100</f>
        <v>4.95</v>
      </c>
      <c r="J199" s="13" t="n">
        <f aca="false">B199*F199/100</f>
        <v>0</v>
      </c>
      <c r="K199" s="13" t="n">
        <f aca="false">B199*G199/100</f>
        <v>4.2</v>
      </c>
    </row>
    <row r="200" customFormat="false" ht="15" hidden="false" customHeight="false" outlineLevel="0" collapsed="false">
      <c r="A200" s="5" t="s">
        <v>304</v>
      </c>
      <c r="B200" s="12" t="n">
        <v>3</v>
      </c>
      <c r="C200" s="4" t="s">
        <v>69</v>
      </c>
      <c r="D200" s="12" t="n">
        <v>150</v>
      </c>
      <c r="E200" s="12" t="n">
        <v>6</v>
      </c>
      <c r="F200" s="12" t="n">
        <v>6</v>
      </c>
      <c r="G200" s="12" t="n">
        <v>10</v>
      </c>
      <c r="H200" s="13" t="n">
        <f aca="false">B200*D200/100</f>
        <v>4.5</v>
      </c>
      <c r="I200" s="13" t="n">
        <f aca="false">B200*E200/100</f>
        <v>0.18</v>
      </c>
      <c r="J200" s="13" t="n">
        <f aca="false">B200*F200/100</f>
        <v>0.18</v>
      </c>
      <c r="K200" s="13" t="n">
        <f aca="false">B200*G200/100</f>
        <v>0.3</v>
      </c>
    </row>
    <row r="201" customFormat="false" ht="15" hidden="false" customHeight="false" outlineLevel="0" collapsed="false">
      <c r="A201" s="5" t="s">
        <v>387</v>
      </c>
      <c r="B201" s="12" t="n">
        <v>2</v>
      </c>
      <c r="C201" s="4" t="s">
        <v>69</v>
      </c>
      <c r="D201" s="12" t="n">
        <v>350</v>
      </c>
      <c r="E201" s="12" t="n">
        <v>10</v>
      </c>
      <c r="F201" s="12" t="n">
        <v>72</v>
      </c>
      <c r="G201" s="12" t="n">
        <v>1</v>
      </c>
      <c r="H201" s="13" t="n">
        <f aca="false">B201*D201/100</f>
        <v>7</v>
      </c>
      <c r="I201" s="13" t="n">
        <f aca="false">B201*E201/100</f>
        <v>0.2</v>
      </c>
      <c r="J201" s="13" t="n">
        <f aca="false">B201*F201/100</f>
        <v>1.44</v>
      </c>
      <c r="K201" s="13" t="n">
        <f aca="false">B201*G201/100</f>
        <v>0.02</v>
      </c>
    </row>
    <row r="202" customFormat="false" ht="15" hidden="false" customHeight="false" outlineLevel="0" collapsed="false">
      <c r="A202" s="5" t="s">
        <v>95</v>
      </c>
      <c r="B202" s="12" t="n">
        <v>1</v>
      </c>
      <c r="C202" s="4" t="s">
        <v>69</v>
      </c>
      <c r="D202" s="12" t="n">
        <v>0</v>
      </c>
      <c r="E202" s="12" t="n">
        <v>0</v>
      </c>
      <c r="F202" s="12" t="n">
        <v>0</v>
      </c>
      <c r="G202" s="12" t="n">
        <v>0</v>
      </c>
      <c r="H202" s="13" t="n">
        <f aca="false">B202*D202/100</f>
        <v>0</v>
      </c>
      <c r="I202" s="13" t="n">
        <f aca="false">B202*E202/100</f>
        <v>0</v>
      </c>
      <c r="J202" s="13" t="n">
        <f aca="false">B202*F202/100</f>
        <v>0</v>
      </c>
      <c r="K202" s="13" t="n">
        <f aca="false">B202*G202/100</f>
        <v>0</v>
      </c>
    </row>
    <row r="203" customFormat="false" ht="15" hidden="false" customHeight="false" outlineLevel="0" collapsed="false">
      <c r="A203" s="5" t="s">
        <v>98</v>
      </c>
      <c r="B203" s="12" t="n">
        <v>0.5</v>
      </c>
      <c r="C203" s="4" t="s">
        <v>69</v>
      </c>
      <c r="D203" s="12" t="n">
        <v>0</v>
      </c>
      <c r="E203" s="12" t="n">
        <v>0</v>
      </c>
      <c r="F203" s="12" t="n">
        <v>0</v>
      </c>
      <c r="G203" s="12" t="n">
        <v>0</v>
      </c>
      <c r="H203" s="13" t="n">
        <f aca="false">B203*D203/100</f>
        <v>0</v>
      </c>
      <c r="I203" s="13" t="n">
        <f aca="false">B203*E203/100</f>
        <v>0</v>
      </c>
      <c r="J203" s="13" t="n">
        <f aca="false">B203*F203/100</f>
        <v>0</v>
      </c>
      <c r="K203" s="13" t="n">
        <f aca="false">B203*G203/100</f>
        <v>0</v>
      </c>
    </row>
    <row r="204" customFormat="false" ht="15" hidden="false" customHeight="false" outlineLevel="0" collapsed="false">
      <c r="A204" s="9" t="s">
        <v>637</v>
      </c>
      <c r="H204" s="14" t="n">
        <f aca="false">SUM(H192:H203)</f>
        <v>888.4</v>
      </c>
      <c r="I204" s="14" t="n">
        <f aca="false">SUM(I192:I203)</f>
        <v>33.165</v>
      </c>
      <c r="J204" s="14" t="n">
        <f aca="false">SUM(J192:J203)</f>
        <v>93.295</v>
      </c>
      <c r="K204" s="14" t="n">
        <f aca="false">SUM(K192:K203)</f>
        <v>40.875</v>
      </c>
      <c r="L204" s="9" t="str">
        <f aca="false">IF(H204&gt;=700,"≥ 700 kcal OK","&lt; 700 kcal")</f>
        <v>≥ 700 kcal OK</v>
      </c>
    </row>
    <row r="205" customFormat="false" ht="15" hidden="false" customHeight="false" outlineLevel="0" collapsed="false">
      <c r="A205" s="9" t="s">
        <v>638</v>
      </c>
      <c r="H205" s="7" t="n">
        <f aca="false">H204*2</f>
        <v>1776.8</v>
      </c>
      <c r="I205" s="7" t="n">
        <f aca="false">I204*2</f>
        <v>66.33</v>
      </c>
      <c r="J205" s="7" t="n">
        <f aca="false">J204*2</f>
        <v>186.59</v>
      </c>
      <c r="K205" s="7" t="n">
        <f aca="false">K204*2</f>
        <v>81.75</v>
      </c>
    </row>
    <row r="206" customFormat="false" ht="15" hidden="false" customHeight="false" outlineLevel="0" collapsed="false">
      <c r="A206" s="4" t="s">
        <v>639</v>
      </c>
      <c r="I206" s="15" t="n">
        <f aca="false">I204*4/H204</f>
        <v>0.1493246285457</v>
      </c>
      <c r="J206" s="15" t="n">
        <f aca="false">J204*4/H204</f>
        <v>0.420058532192706</v>
      </c>
      <c r="K206" s="15" t="n">
        <f aca="false">K204*9/H204</f>
        <v>0.414087122917605</v>
      </c>
    </row>
    <row r="208" customFormat="false" ht="16.15" hidden="false" customHeight="false" outlineLevel="0" collapsed="false">
      <c r="A208" s="1" t="s">
        <v>396</v>
      </c>
    </row>
    <row r="209" customFormat="false" ht="26.85" hidden="false" customHeight="false" outlineLevel="0" collapsed="false">
      <c r="A209" s="3" t="s">
        <v>626</v>
      </c>
      <c r="B209" s="3" t="s">
        <v>627</v>
      </c>
      <c r="C209" s="3" t="s">
        <v>64</v>
      </c>
      <c r="D209" s="3" t="s">
        <v>628</v>
      </c>
      <c r="E209" s="3" t="s">
        <v>629</v>
      </c>
      <c r="F209" s="3" t="s">
        <v>630</v>
      </c>
      <c r="G209" s="3" t="s">
        <v>631</v>
      </c>
      <c r="H209" s="3" t="s">
        <v>632</v>
      </c>
      <c r="I209" s="3" t="s">
        <v>633</v>
      </c>
      <c r="J209" s="3" t="s">
        <v>634</v>
      </c>
      <c r="K209" s="3" t="s">
        <v>635</v>
      </c>
      <c r="L209" s="3" t="s">
        <v>636</v>
      </c>
    </row>
    <row r="210" customFormat="false" ht="15" hidden="false" customHeight="false" outlineLevel="0" collapsed="false">
      <c r="A210" s="5" t="s">
        <v>400</v>
      </c>
      <c r="B210" s="12" t="n">
        <v>110</v>
      </c>
      <c r="C210" s="4" t="s">
        <v>69</v>
      </c>
      <c r="D210" s="12" t="n">
        <v>350</v>
      </c>
      <c r="E210" s="12" t="n">
        <v>7</v>
      </c>
      <c r="F210" s="12" t="n">
        <v>78</v>
      </c>
      <c r="G210" s="12" t="n">
        <v>0.6</v>
      </c>
      <c r="H210" s="13" t="n">
        <f aca="false">B210*D210/100</f>
        <v>385</v>
      </c>
      <c r="I210" s="13" t="n">
        <f aca="false">B210*E210/100</f>
        <v>7.7</v>
      </c>
      <c r="J210" s="13" t="n">
        <f aca="false">B210*F210/100</f>
        <v>85.8</v>
      </c>
      <c r="K210" s="13" t="n">
        <f aca="false">B210*G210/100</f>
        <v>0.66</v>
      </c>
    </row>
    <row r="211" customFormat="false" ht="15" hidden="false" customHeight="false" outlineLevel="0" collapsed="false">
      <c r="A211" s="5" t="s">
        <v>120</v>
      </c>
      <c r="B211" s="12" t="n">
        <v>75</v>
      </c>
      <c r="C211" s="4" t="s">
        <v>69</v>
      </c>
      <c r="D211" s="12" t="n">
        <v>300</v>
      </c>
      <c r="E211" s="12" t="n">
        <v>15</v>
      </c>
      <c r="F211" s="12" t="n">
        <v>1</v>
      </c>
      <c r="G211" s="12" t="n">
        <v>27</v>
      </c>
      <c r="H211" s="13" t="n">
        <f aca="false">B211*D211/100</f>
        <v>225</v>
      </c>
      <c r="I211" s="13" t="n">
        <f aca="false">B211*E211/100</f>
        <v>11.25</v>
      </c>
      <c r="J211" s="13" t="n">
        <f aca="false">B211*F211/100</f>
        <v>0.75</v>
      </c>
      <c r="K211" s="13" t="n">
        <f aca="false">B211*G211/100</f>
        <v>20.25</v>
      </c>
    </row>
    <row r="212" customFormat="false" ht="15" hidden="false" customHeight="false" outlineLevel="0" collapsed="false">
      <c r="A212" s="5" t="s">
        <v>404</v>
      </c>
      <c r="B212" s="12" t="n">
        <v>125</v>
      </c>
      <c r="C212" s="4" t="s">
        <v>69</v>
      </c>
      <c r="D212" s="12" t="n">
        <v>20</v>
      </c>
      <c r="E212" s="12" t="n">
        <v>2</v>
      </c>
      <c r="F212" s="12" t="n">
        <v>1</v>
      </c>
      <c r="G212" s="12" t="n">
        <v>0.3</v>
      </c>
      <c r="H212" s="13" t="n">
        <f aca="false">B212*D212/100</f>
        <v>25</v>
      </c>
      <c r="I212" s="13" t="n">
        <f aca="false">B212*E212/100</f>
        <v>2.5</v>
      </c>
      <c r="J212" s="13" t="n">
        <f aca="false">B212*F212/100</f>
        <v>1.25</v>
      </c>
      <c r="K212" s="13" t="n">
        <f aca="false">B212*G212/100</f>
        <v>0.375</v>
      </c>
    </row>
    <row r="213" customFormat="false" ht="15" hidden="false" customHeight="false" outlineLevel="0" collapsed="false">
      <c r="A213" s="5" t="s">
        <v>117</v>
      </c>
      <c r="B213" s="12" t="n">
        <v>50</v>
      </c>
      <c r="C213" s="4" t="s">
        <v>69</v>
      </c>
      <c r="D213" s="12" t="n">
        <v>40</v>
      </c>
      <c r="E213" s="12" t="n">
        <v>1</v>
      </c>
      <c r="F213" s="12" t="n">
        <v>8</v>
      </c>
      <c r="G213" s="12" t="n">
        <v>0</v>
      </c>
      <c r="H213" s="13" t="n">
        <f aca="false">B213*D213/100</f>
        <v>20</v>
      </c>
      <c r="I213" s="13" t="n">
        <f aca="false">B213*E213/100</f>
        <v>0.5</v>
      </c>
      <c r="J213" s="13" t="n">
        <f aca="false">B213*F213/100</f>
        <v>4</v>
      </c>
      <c r="K213" s="13" t="n">
        <f aca="false">B213*G213/100</f>
        <v>0</v>
      </c>
    </row>
    <row r="214" customFormat="false" ht="15" hidden="false" customHeight="false" outlineLevel="0" collapsed="false">
      <c r="A214" s="5" t="s">
        <v>125</v>
      </c>
      <c r="B214" s="12" t="n">
        <v>80</v>
      </c>
      <c r="C214" s="4" t="s">
        <v>74</v>
      </c>
      <c r="D214" s="12" t="n">
        <v>165</v>
      </c>
      <c r="E214" s="12" t="n">
        <v>2.5</v>
      </c>
      <c r="F214" s="12" t="n">
        <v>4</v>
      </c>
      <c r="G214" s="12" t="n">
        <v>15</v>
      </c>
      <c r="H214" s="13" t="n">
        <f aca="false">B214*D214/100</f>
        <v>132</v>
      </c>
      <c r="I214" s="13" t="n">
        <f aca="false">B214*E214/100</f>
        <v>2</v>
      </c>
      <c r="J214" s="13" t="n">
        <f aca="false">B214*F214/100</f>
        <v>3.2</v>
      </c>
      <c r="K214" s="13" t="n">
        <f aca="false">B214*G214/100</f>
        <v>12</v>
      </c>
    </row>
    <row r="215" customFormat="false" ht="15" hidden="false" customHeight="false" outlineLevel="0" collapsed="false">
      <c r="A215" s="5" t="s">
        <v>287</v>
      </c>
      <c r="B215" s="12" t="n">
        <v>5</v>
      </c>
      <c r="C215" s="4" t="s">
        <v>69</v>
      </c>
      <c r="D215" s="12" t="n">
        <v>150</v>
      </c>
      <c r="E215" s="12" t="n">
        <v>10</v>
      </c>
      <c r="F215" s="12" t="n">
        <v>15</v>
      </c>
      <c r="G215" s="12" t="n">
        <v>8</v>
      </c>
      <c r="H215" s="13" t="n">
        <f aca="false">B215*D215/100</f>
        <v>7.5</v>
      </c>
      <c r="I215" s="13" t="n">
        <f aca="false">B215*E215/100</f>
        <v>0.5</v>
      </c>
      <c r="J215" s="13" t="n">
        <f aca="false">B215*F215/100</f>
        <v>0.75</v>
      </c>
      <c r="K215" s="13" t="n">
        <f aca="false">B215*G215/100</f>
        <v>0.4</v>
      </c>
    </row>
    <row r="216" customFormat="false" ht="15" hidden="false" customHeight="false" outlineLevel="0" collapsed="false">
      <c r="A216" s="5" t="s">
        <v>174</v>
      </c>
      <c r="B216" s="12" t="n">
        <v>375</v>
      </c>
      <c r="C216" s="4" t="s">
        <v>74</v>
      </c>
      <c r="D216" s="12" t="n">
        <v>0</v>
      </c>
      <c r="E216" s="12" t="n">
        <v>0</v>
      </c>
      <c r="F216" s="12" t="n">
        <v>0</v>
      </c>
      <c r="G216" s="12" t="n">
        <v>0</v>
      </c>
      <c r="H216" s="13" t="n">
        <f aca="false">B216*D216/100</f>
        <v>0</v>
      </c>
      <c r="I216" s="13" t="n">
        <f aca="false">B216*E216/100</f>
        <v>0</v>
      </c>
      <c r="J216" s="13" t="n">
        <f aca="false">B216*F216/100</f>
        <v>0</v>
      </c>
      <c r="K216" s="13" t="n">
        <f aca="false">B216*G216/100</f>
        <v>0</v>
      </c>
    </row>
    <row r="217" customFormat="false" ht="15" hidden="false" customHeight="false" outlineLevel="0" collapsed="false">
      <c r="A217" s="5" t="s">
        <v>168</v>
      </c>
      <c r="B217" s="12" t="n">
        <v>10</v>
      </c>
      <c r="C217" s="4" t="s">
        <v>74</v>
      </c>
      <c r="D217" s="12" t="n">
        <v>900</v>
      </c>
      <c r="E217" s="12" t="n">
        <v>0</v>
      </c>
      <c r="F217" s="12" t="n">
        <v>0</v>
      </c>
      <c r="G217" s="12" t="n">
        <v>100</v>
      </c>
      <c r="H217" s="13" t="n">
        <f aca="false">B217*D217/100</f>
        <v>90</v>
      </c>
      <c r="I217" s="13" t="n">
        <f aca="false">B217*E217/100</f>
        <v>0</v>
      </c>
      <c r="J217" s="13" t="n">
        <f aca="false">B217*F217/100</f>
        <v>0</v>
      </c>
      <c r="K217" s="13" t="n">
        <f aca="false">B217*G217/100</f>
        <v>10</v>
      </c>
    </row>
    <row r="218" customFormat="false" ht="15" hidden="false" customHeight="false" outlineLevel="0" collapsed="false">
      <c r="A218" s="5" t="s">
        <v>409</v>
      </c>
      <c r="B218" s="12" t="n">
        <v>15</v>
      </c>
      <c r="C218" s="4" t="s">
        <v>69</v>
      </c>
      <c r="D218" s="12" t="n">
        <v>390</v>
      </c>
      <c r="E218" s="12" t="n">
        <v>33</v>
      </c>
      <c r="F218" s="12" t="n">
        <v>0</v>
      </c>
      <c r="G218" s="12" t="n">
        <v>28</v>
      </c>
      <c r="H218" s="13" t="n">
        <f aca="false">B218*D218/100</f>
        <v>58.5</v>
      </c>
      <c r="I218" s="13" t="n">
        <f aca="false">B218*E218/100</f>
        <v>4.95</v>
      </c>
      <c r="J218" s="13" t="n">
        <f aca="false">B218*F218/100</f>
        <v>0</v>
      </c>
      <c r="K218" s="13" t="n">
        <f aca="false">B218*G218/100</f>
        <v>4.2</v>
      </c>
    </row>
    <row r="219" customFormat="false" ht="15" hidden="false" customHeight="false" outlineLevel="0" collapsed="false">
      <c r="A219" s="5" t="s">
        <v>98</v>
      </c>
      <c r="B219" s="12" t="n">
        <v>0.5</v>
      </c>
      <c r="C219" s="4" t="s">
        <v>69</v>
      </c>
      <c r="D219" s="12" t="n">
        <v>0</v>
      </c>
      <c r="E219" s="12" t="n">
        <v>0</v>
      </c>
      <c r="F219" s="12" t="n">
        <v>0</v>
      </c>
      <c r="G219" s="12" t="n">
        <v>0</v>
      </c>
      <c r="H219" s="13" t="n">
        <f aca="false">B219*D219/100</f>
        <v>0</v>
      </c>
      <c r="I219" s="13" t="n">
        <f aca="false">B219*E219/100</f>
        <v>0</v>
      </c>
      <c r="J219" s="13" t="n">
        <f aca="false">B219*F219/100</f>
        <v>0</v>
      </c>
      <c r="K219" s="13" t="n">
        <f aca="false">B219*G219/100</f>
        <v>0</v>
      </c>
    </row>
    <row r="220" customFormat="false" ht="15" hidden="false" customHeight="false" outlineLevel="0" collapsed="false">
      <c r="A220" s="5" t="s">
        <v>95</v>
      </c>
      <c r="B220" s="12" t="n">
        <v>0</v>
      </c>
      <c r="C220" s="4" t="s">
        <v>69</v>
      </c>
      <c r="D220" s="12" t="n">
        <v>0</v>
      </c>
      <c r="E220" s="12" t="n">
        <v>0</v>
      </c>
      <c r="F220" s="12" t="n">
        <v>0</v>
      </c>
      <c r="G220" s="12" t="n">
        <v>0</v>
      </c>
      <c r="H220" s="13" t="n">
        <f aca="false">B220*D220/100</f>
        <v>0</v>
      </c>
      <c r="I220" s="13" t="n">
        <f aca="false">B220*E220/100</f>
        <v>0</v>
      </c>
      <c r="J220" s="13" t="n">
        <f aca="false">B220*F220/100</f>
        <v>0</v>
      </c>
      <c r="K220" s="13" t="n">
        <f aca="false">B220*G220/100</f>
        <v>0</v>
      </c>
    </row>
    <row r="221" customFormat="false" ht="15" hidden="false" customHeight="false" outlineLevel="0" collapsed="false">
      <c r="A221" s="9" t="s">
        <v>637</v>
      </c>
      <c r="H221" s="14" t="n">
        <f aca="false">SUM(H210:H220)</f>
        <v>943</v>
      </c>
      <c r="I221" s="14" t="n">
        <f aca="false">SUM(I210:I220)</f>
        <v>29.4</v>
      </c>
      <c r="J221" s="14" t="n">
        <f aca="false">SUM(J210:J220)</f>
        <v>95.75</v>
      </c>
      <c r="K221" s="14" t="n">
        <f aca="false">SUM(K210:K220)</f>
        <v>47.885</v>
      </c>
      <c r="L221" s="9" t="str">
        <f aca="false">IF(H221&gt;=700,"≥ 700 kcal OK","&lt; 700 kcal")</f>
        <v>≥ 700 kcal OK</v>
      </c>
    </row>
    <row r="222" customFormat="false" ht="15" hidden="false" customHeight="false" outlineLevel="0" collapsed="false">
      <c r="A222" s="9" t="s">
        <v>638</v>
      </c>
      <c r="H222" s="7" t="n">
        <f aca="false">H221*2</f>
        <v>1886</v>
      </c>
      <c r="I222" s="7" t="n">
        <f aca="false">I221*2</f>
        <v>58.8</v>
      </c>
      <c r="J222" s="7" t="n">
        <f aca="false">J221*2</f>
        <v>191.5</v>
      </c>
      <c r="K222" s="7" t="n">
        <f aca="false">K221*2</f>
        <v>95.77</v>
      </c>
    </row>
    <row r="223" customFormat="false" ht="15" hidden="false" customHeight="false" outlineLevel="0" collapsed="false">
      <c r="A223" s="4" t="s">
        <v>639</v>
      </c>
      <c r="I223" s="15" t="n">
        <f aca="false">I221*4/H221</f>
        <v>0.124708377518558</v>
      </c>
      <c r="J223" s="15" t="n">
        <f aca="false">J221*4/H221</f>
        <v>0.406150583244963</v>
      </c>
      <c r="K223" s="15" t="n">
        <f aca="false">K221*9/H221</f>
        <v>0.457014846235419</v>
      </c>
    </row>
    <row r="225" customFormat="false" ht="16.15" hidden="false" customHeight="false" outlineLevel="0" collapsed="false">
      <c r="A225" s="1" t="s">
        <v>419</v>
      </c>
    </row>
    <row r="226" customFormat="false" ht="26.85" hidden="false" customHeight="false" outlineLevel="0" collapsed="false">
      <c r="A226" s="3" t="s">
        <v>626</v>
      </c>
      <c r="B226" s="3" t="s">
        <v>627</v>
      </c>
      <c r="C226" s="3" t="s">
        <v>64</v>
      </c>
      <c r="D226" s="3" t="s">
        <v>628</v>
      </c>
      <c r="E226" s="3" t="s">
        <v>629</v>
      </c>
      <c r="F226" s="3" t="s">
        <v>630</v>
      </c>
      <c r="G226" s="3" t="s">
        <v>631</v>
      </c>
      <c r="H226" s="3" t="s">
        <v>632</v>
      </c>
      <c r="I226" s="3" t="s">
        <v>633</v>
      </c>
      <c r="J226" s="3" t="s">
        <v>634</v>
      </c>
      <c r="K226" s="3" t="s">
        <v>635</v>
      </c>
      <c r="L226" s="3" t="s">
        <v>636</v>
      </c>
    </row>
    <row r="227" customFormat="false" ht="15" hidden="false" customHeight="false" outlineLevel="0" collapsed="false">
      <c r="A227" s="5" t="s">
        <v>422</v>
      </c>
      <c r="B227" s="12" t="n">
        <v>140</v>
      </c>
      <c r="C227" s="4" t="s">
        <v>69</v>
      </c>
      <c r="D227" s="12" t="n">
        <v>290</v>
      </c>
      <c r="E227" s="12" t="n">
        <v>12</v>
      </c>
      <c r="F227" s="12" t="n">
        <v>3</v>
      </c>
      <c r="G227" s="12" t="n">
        <v>26</v>
      </c>
      <c r="H227" s="13" t="n">
        <f aca="false">B227*D227/100</f>
        <v>406</v>
      </c>
      <c r="I227" s="13" t="n">
        <f aca="false">B227*E227/100</f>
        <v>16.8</v>
      </c>
      <c r="J227" s="13" t="n">
        <f aca="false">B227*F227/100</f>
        <v>4.2</v>
      </c>
      <c r="K227" s="13" t="n">
        <f aca="false">B227*G227/100</f>
        <v>36.4</v>
      </c>
    </row>
    <row r="228" customFormat="false" ht="15" hidden="false" customHeight="false" outlineLevel="0" collapsed="false">
      <c r="A228" s="5" t="s">
        <v>425</v>
      </c>
      <c r="B228" s="12" t="n">
        <v>200</v>
      </c>
      <c r="C228" s="4" t="s">
        <v>69</v>
      </c>
      <c r="D228" s="12" t="n">
        <v>90</v>
      </c>
      <c r="E228" s="12" t="n">
        <v>7</v>
      </c>
      <c r="F228" s="12" t="n">
        <v>12</v>
      </c>
      <c r="G228" s="12" t="n">
        <v>0.5</v>
      </c>
      <c r="H228" s="13" t="n">
        <f aca="false">B228*D228/100</f>
        <v>180</v>
      </c>
      <c r="I228" s="13" t="n">
        <f aca="false">B228*E228/100</f>
        <v>14</v>
      </c>
      <c r="J228" s="13" t="n">
        <f aca="false">B228*F228/100</f>
        <v>24</v>
      </c>
      <c r="K228" s="13" t="n">
        <f aca="false">B228*G228/100</f>
        <v>1</v>
      </c>
    </row>
    <row r="229" customFormat="false" ht="15" hidden="false" customHeight="false" outlineLevel="0" collapsed="false">
      <c r="A229" s="5" t="s">
        <v>117</v>
      </c>
      <c r="B229" s="12" t="n">
        <v>40</v>
      </c>
      <c r="C229" s="4" t="s">
        <v>69</v>
      </c>
      <c r="D229" s="12" t="n">
        <v>40</v>
      </c>
      <c r="E229" s="12" t="n">
        <v>1</v>
      </c>
      <c r="F229" s="12" t="n">
        <v>8</v>
      </c>
      <c r="G229" s="12" t="n">
        <v>0</v>
      </c>
      <c r="H229" s="13" t="n">
        <f aca="false">B229*D229/100</f>
        <v>16</v>
      </c>
      <c r="I229" s="13" t="n">
        <f aca="false">B229*E229/100</f>
        <v>0.4</v>
      </c>
      <c r="J229" s="13" t="n">
        <f aca="false">B229*F229/100</f>
        <v>3.2</v>
      </c>
      <c r="K229" s="13" t="n">
        <f aca="false">B229*G229/100</f>
        <v>0</v>
      </c>
    </row>
    <row r="230" customFormat="false" ht="15" hidden="false" customHeight="false" outlineLevel="0" collapsed="false">
      <c r="A230" s="5" t="s">
        <v>428</v>
      </c>
      <c r="B230" s="12" t="n">
        <v>50</v>
      </c>
      <c r="C230" s="4" t="s">
        <v>69</v>
      </c>
      <c r="D230" s="12" t="n">
        <v>40</v>
      </c>
      <c r="E230" s="12" t="n">
        <v>1</v>
      </c>
      <c r="F230" s="12" t="n">
        <v>8</v>
      </c>
      <c r="G230" s="12" t="n">
        <v>0.2</v>
      </c>
      <c r="H230" s="13" t="n">
        <f aca="false">B230*D230/100</f>
        <v>20</v>
      </c>
      <c r="I230" s="13" t="n">
        <f aca="false">B230*E230/100</f>
        <v>0.5</v>
      </c>
      <c r="J230" s="13" t="n">
        <f aca="false">B230*F230/100</f>
        <v>4</v>
      </c>
      <c r="K230" s="13" t="n">
        <f aca="false">B230*G230/100</f>
        <v>0.1</v>
      </c>
    </row>
    <row r="231" customFormat="false" ht="15" hidden="false" customHeight="false" outlineLevel="0" collapsed="false">
      <c r="A231" s="5" t="s">
        <v>431</v>
      </c>
      <c r="B231" s="12" t="n">
        <v>40</v>
      </c>
      <c r="C231" s="4" t="s">
        <v>69</v>
      </c>
      <c r="D231" s="12" t="n">
        <v>300</v>
      </c>
      <c r="E231" s="12" t="n">
        <v>15</v>
      </c>
      <c r="F231" s="12" t="n">
        <v>1</v>
      </c>
      <c r="G231" s="12" t="n">
        <v>27</v>
      </c>
      <c r="H231" s="13" t="n">
        <f aca="false">B231*D231/100</f>
        <v>120</v>
      </c>
      <c r="I231" s="13" t="n">
        <f aca="false">B231*E231/100</f>
        <v>6</v>
      </c>
      <c r="J231" s="13" t="n">
        <f aca="false">B231*F231/100</f>
        <v>0.4</v>
      </c>
      <c r="K231" s="13" t="n">
        <f aca="false">B231*G231/100</f>
        <v>10.8</v>
      </c>
    </row>
    <row r="232" customFormat="false" ht="15" hidden="false" customHeight="false" outlineLevel="0" collapsed="false">
      <c r="A232" s="5" t="s">
        <v>433</v>
      </c>
      <c r="B232" s="12" t="n">
        <v>5</v>
      </c>
      <c r="C232" s="4" t="s">
        <v>69</v>
      </c>
      <c r="D232" s="12" t="n">
        <v>750</v>
      </c>
      <c r="E232" s="12" t="n">
        <v>0.5</v>
      </c>
      <c r="F232" s="12" t="n">
        <v>0.5</v>
      </c>
      <c r="G232" s="12" t="n">
        <v>82</v>
      </c>
      <c r="H232" s="13" t="n">
        <f aca="false">B232*D232/100</f>
        <v>37.5</v>
      </c>
      <c r="I232" s="13" t="n">
        <f aca="false">B232*E232/100</f>
        <v>0.025</v>
      </c>
      <c r="J232" s="13" t="n">
        <f aca="false">B232*F232/100</f>
        <v>0.025</v>
      </c>
      <c r="K232" s="13" t="n">
        <f aca="false">B232*G232/100</f>
        <v>4.1</v>
      </c>
    </row>
    <row r="233" customFormat="false" ht="15" hidden="false" customHeight="false" outlineLevel="0" collapsed="false">
      <c r="A233" s="5" t="s">
        <v>98</v>
      </c>
      <c r="B233" s="12" t="n">
        <v>0.5</v>
      </c>
      <c r="C233" s="4" t="s">
        <v>69</v>
      </c>
      <c r="D233" s="12" t="n">
        <v>0</v>
      </c>
      <c r="E233" s="12" t="n">
        <v>0</v>
      </c>
      <c r="F233" s="12" t="n">
        <v>0</v>
      </c>
      <c r="G233" s="12" t="n">
        <v>0</v>
      </c>
      <c r="H233" s="13" t="n">
        <f aca="false">B233*D233/100</f>
        <v>0</v>
      </c>
      <c r="I233" s="13" t="n">
        <f aca="false">B233*E233/100</f>
        <v>0</v>
      </c>
      <c r="J233" s="13" t="n">
        <f aca="false">B233*F233/100</f>
        <v>0</v>
      </c>
      <c r="K233" s="13" t="n">
        <f aca="false">B233*G233/100</f>
        <v>0</v>
      </c>
    </row>
    <row r="234" customFormat="false" ht="15" hidden="false" customHeight="false" outlineLevel="0" collapsed="false">
      <c r="A234" s="5" t="s">
        <v>95</v>
      </c>
      <c r="B234" s="12" t="n">
        <v>0.5</v>
      </c>
      <c r="C234" s="4" t="s">
        <v>69</v>
      </c>
      <c r="D234" s="12" t="n">
        <v>0</v>
      </c>
      <c r="E234" s="12" t="n">
        <v>0</v>
      </c>
      <c r="F234" s="12" t="n">
        <v>0</v>
      </c>
      <c r="G234" s="12" t="n">
        <v>0</v>
      </c>
      <c r="H234" s="13" t="n">
        <f aca="false">B234*D234/100</f>
        <v>0</v>
      </c>
      <c r="I234" s="13" t="n">
        <f aca="false">B234*E234/100</f>
        <v>0</v>
      </c>
      <c r="J234" s="13" t="n">
        <f aca="false">B234*F234/100</f>
        <v>0</v>
      </c>
      <c r="K234" s="13" t="n">
        <f aca="false">B234*G234/100</f>
        <v>0</v>
      </c>
    </row>
    <row r="235" customFormat="false" ht="15" hidden="false" customHeight="false" outlineLevel="0" collapsed="false">
      <c r="A235" s="9" t="s">
        <v>637</v>
      </c>
      <c r="H235" s="14" t="n">
        <f aca="false">SUM(H227:H234)</f>
        <v>779.5</v>
      </c>
      <c r="I235" s="14" t="n">
        <f aca="false">SUM(I227:I234)</f>
        <v>37.725</v>
      </c>
      <c r="J235" s="14" t="n">
        <f aca="false">SUM(J227:J234)</f>
        <v>35.825</v>
      </c>
      <c r="K235" s="14" t="n">
        <f aca="false">SUM(K227:K234)</f>
        <v>52.4</v>
      </c>
      <c r="L235" s="9" t="str">
        <f aca="false">IF(H235&gt;=700,"≥ 700 kcal OK","&lt; 700 kcal")</f>
        <v>≥ 700 kcal OK</v>
      </c>
    </row>
    <row r="236" customFormat="false" ht="15" hidden="false" customHeight="false" outlineLevel="0" collapsed="false">
      <c r="A236" s="9" t="s">
        <v>638</v>
      </c>
      <c r="H236" s="7" t="n">
        <f aca="false">H235*2</f>
        <v>1559</v>
      </c>
      <c r="I236" s="7" t="n">
        <f aca="false">I235*2</f>
        <v>75.45</v>
      </c>
      <c r="J236" s="7" t="n">
        <f aca="false">J235*2</f>
        <v>71.65</v>
      </c>
      <c r="K236" s="7" t="n">
        <f aca="false">K235*2</f>
        <v>104.8</v>
      </c>
    </row>
    <row r="237" customFormat="false" ht="15" hidden="false" customHeight="false" outlineLevel="0" collapsed="false">
      <c r="A237" s="4" t="s">
        <v>639</v>
      </c>
      <c r="I237" s="15" t="n">
        <f aca="false">I235*4/H235</f>
        <v>0.193585631815266</v>
      </c>
      <c r="J237" s="15" t="n">
        <f aca="false">J235*4/H235</f>
        <v>0.183835792174471</v>
      </c>
      <c r="K237" s="15" t="n">
        <f aca="false">K235*9/H235</f>
        <v>0.605003207184092</v>
      </c>
    </row>
    <row r="239" customFormat="false" ht="16.15" hidden="false" customHeight="false" outlineLevel="0" collapsed="false">
      <c r="A239" s="1" t="s">
        <v>442</v>
      </c>
    </row>
    <row r="240" customFormat="false" ht="26.85" hidden="false" customHeight="false" outlineLevel="0" collapsed="false">
      <c r="A240" s="3" t="s">
        <v>626</v>
      </c>
      <c r="B240" s="3" t="s">
        <v>627</v>
      </c>
      <c r="C240" s="3" t="s">
        <v>64</v>
      </c>
      <c r="D240" s="3" t="s">
        <v>628</v>
      </c>
      <c r="E240" s="3" t="s">
        <v>629</v>
      </c>
      <c r="F240" s="3" t="s">
        <v>630</v>
      </c>
      <c r="G240" s="3" t="s">
        <v>631</v>
      </c>
      <c r="H240" s="3" t="s">
        <v>632</v>
      </c>
      <c r="I240" s="3" t="s">
        <v>633</v>
      </c>
      <c r="J240" s="3" t="s">
        <v>634</v>
      </c>
      <c r="K240" s="3" t="s">
        <v>635</v>
      </c>
      <c r="L240" s="3" t="s">
        <v>636</v>
      </c>
    </row>
    <row r="241" customFormat="false" ht="15" hidden="false" customHeight="false" outlineLevel="0" collapsed="false">
      <c r="A241" s="5" t="s">
        <v>447</v>
      </c>
      <c r="B241" s="12" t="n">
        <v>120</v>
      </c>
      <c r="C241" s="4" t="s">
        <v>69</v>
      </c>
      <c r="D241" s="12" t="n">
        <v>110</v>
      </c>
      <c r="E241" s="12" t="n">
        <v>23</v>
      </c>
      <c r="F241" s="12" t="n">
        <v>0</v>
      </c>
      <c r="G241" s="12" t="n">
        <v>2</v>
      </c>
      <c r="H241" s="13" t="n">
        <f aca="false">B241*D241/100</f>
        <v>132</v>
      </c>
      <c r="I241" s="13" t="n">
        <f aca="false">B241*E241/100</f>
        <v>27.6</v>
      </c>
      <c r="J241" s="13" t="n">
        <f aca="false">B241*F241/100</f>
        <v>0</v>
      </c>
      <c r="K241" s="13" t="n">
        <f aca="false">B241*G241/100</f>
        <v>2.4</v>
      </c>
    </row>
    <row r="242" customFormat="false" ht="15" hidden="false" customHeight="false" outlineLevel="0" collapsed="false">
      <c r="A242" s="5" t="s">
        <v>428</v>
      </c>
      <c r="B242" s="12" t="n">
        <v>100</v>
      </c>
      <c r="C242" s="4" t="s">
        <v>69</v>
      </c>
      <c r="D242" s="12" t="n">
        <v>40</v>
      </c>
      <c r="E242" s="12" t="n">
        <v>1</v>
      </c>
      <c r="F242" s="12" t="n">
        <v>8</v>
      </c>
      <c r="G242" s="12" t="n">
        <v>0.2</v>
      </c>
      <c r="H242" s="13" t="n">
        <f aca="false">B242*D242/100</f>
        <v>40</v>
      </c>
      <c r="I242" s="13" t="n">
        <f aca="false">B242*E242/100</f>
        <v>1</v>
      </c>
      <c r="J242" s="13" t="n">
        <f aca="false">B242*F242/100</f>
        <v>8</v>
      </c>
      <c r="K242" s="13" t="n">
        <f aca="false">B242*G242/100</f>
        <v>0.2</v>
      </c>
    </row>
    <row r="243" customFormat="false" ht="15" hidden="false" customHeight="false" outlineLevel="0" collapsed="false">
      <c r="A243" s="5" t="s">
        <v>450</v>
      </c>
      <c r="B243" s="12" t="n">
        <v>100</v>
      </c>
      <c r="C243" s="4" t="s">
        <v>69</v>
      </c>
      <c r="D243" s="12" t="n">
        <v>130</v>
      </c>
      <c r="E243" s="12" t="n">
        <v>8</v>
      </c>
      <c r="F243" s="12" t="n">
        <v>17</v>
      </c>
      <c r="G243" s="12" t="n">
        <v>2.5</v>
      </c>
      <c r="H243" s="13" t="n">
        <f aca="false">B243*D243/100</f>
        <v>130</v>
      </c>
      <c r="I243" s="13" t="n">
        <f aca="false">B243*E243/100</f>
        <v>8</v>
      </c>
      <c r="J243" s="13" t="n">
        <f aca="false">B243*F243/100</f>
        <v>17</v>
      </c>
      <c r="K243" s="13" t="n">
        <f aca="false">B243*G243/100</f>
        <v>2.5</v>
      </c>
    </row>
    <row r="244" customFormat="false" ht="15" hidden="false" customHeight="false" outlineLevel="0" collapsed="false">
      <c r="A244" s="5" t="s">
        <v>117</v>
      </c>
      <c r="B244" s="12" t="n">
        <v>30</v>
      </c>
      <c r="C244" s="4" t="s">
        <v>69</v>
      </c>
      <c r="D244" s="12" t="n">
        <v>40</v>
      </c>
      <c r="E244" s="12" t="n">
        <v>1</v>
      </c>
      <c r="F244" s="12" t="n">
        <v>8</v>
      </c>
      <c r="G244" s="12" t="n">
        <v>0</v>
      </c>
      <c r="H244" s="13" t="n">
        <f aca="false">B244*D244/100</f>
        <v>12</v>
      </c>
      <c r="I244" s="13" t="n">
        <f aca="false">B244*E244/100</f>
        <v>0.3</v>
      </c>
      <c r="J244" s="13" t="n">
        <f aca="false">B244*F244/100</f>
        <v>2.4</v>
      </c>
      <c r="K244" s="13" t="n">
        <f aca="false">B244*G244/100</f>
        <v>0</v>
      </c>
    </row>
    <row r="245" customFormat="false" ht="15" hidden="false" customHeight="false" outlineLevel="0" collapsed="false">
      <c r="A245" s="5" t="s">
        <v>454</v>
      </c>
      <c r="B245" s="12" t="n">
        <v>7</v>
      </c>
      <c r="C245" s="4" t="s">
        <v>69</v>
      </c>
      <c r="D245" s="12" t="n">
        <v>300</v>
      </c>
      <c r="E245" s="12" t="n">
        <v>12</v>
      </c>
      <c r="F245" s="12" t="n">
        <v>50</v>
      </c>
      <c r="G245" s="12" t="n">
        <v>14</v>
      </c>
      <c r="H245" s="13" t="n">
        <f aca="false">B245*D245/100</f>
        <v>21</v>
      </c>
      <c r="I245" s="13" t="n">
        <f aca="false">B245*E245/100</f>
        <v>0.84</v>
      </c>
      <c r="J245" s="13" t="n">
        <f aca="false">B245*F245/100</f>
        <v>3.5</v>
      </c>
      <c r="K245" s="13" t="n">
        <f aca="false">B245*G245/100</f>
        <v>0.98</v>
      </c>
    </row>
    <row r="246" customFormat="false" ht="15" hidden="false" customHeight="false" outlineLevel="0" collapsed="false">
      <c r="A246" s="5" t="s">
        <v>457</v>
      </c>
      <c r="B246" s="12" t="n">
        <v>5</v>
      </c>
      <c r="C246" s="4" t="s">
        <v>69</v>
      </c>
      <c r="D246" s="12" t="n">
        <v>150</v>
      </c>
      <c r="E246" s="12" t="n">
        <v>10</v>
      </c>
      <c r="F246" s="12" t="n">
        <v>15</v>
      </c>
      <c r="G246" s="12" t="n">
        <v>8</v>
      </c>
      <c r="H246" s="13" t="n">
        <f aca="false">B246*D246/100</f>
        <v>7.5</v>
      </c>
      <c r="I246" s="13" t="n">
        <f aca="false">B246*E246/100</f>
        <v>0.5</v>
      </c>
      <c r="J246" s="13" t="n">
        <f aca="false">B246*F246/100</f>
        <v>0.75</v>
      </c>
      <c r="K246" s="13" t="n">
        <f aca="false">B246*G246/100</f>
        <v>0.4</v>
      </c>
    </row>
    <row r="247" customFormat="false" ht="15" hidden="false" customHeight="false" outlineLevel="0" collapsed="false">
      <c r="A247" s="5" t="s">
        <v>458</v>
      </c>
      <c r="B247" s="12" t="n">
        <v>100</v>
      </c>
      <c r="C247" s="4" t="s">
        <v>74</v>
      </c>
      <c r="D247" s="12" t="n">
        <v>0</v>
      </c>
      <c r="E247" s="12" t="n">
        <v>0</v>
      </c>
      <c r="F247" s="12" t="n">
        <v>0</v>
      </c>
      <c r="G247" s="12" t="n">
        <v>0</v>
      </c>
      <c r="H247" s="13" t="n">
        <f aca="false">B247*D247/100</f>
        <v>0</v>
      </c>
      <c r="I247" s="13" t="n">
        <f aca="false">B247*E247/100</f>
        <v>0</v>
      </c>
      <c r="J247" s="13" t="n">
        <f aca="false">B247*F247/100</f>
        <v>0</v>
      </c>
      <c r="K247" s="13" t="n">
        <f aca="false">B247*G247/100</f>
        <v>0</v>
      </c>
    </row>
    <row r="248" customFormat="false" ht="15" hidden="false" customHeight="false" outlineLevel="0" collapsed="false">
      <c r="A248" s="5" t="s">
        <v>168</v>
      </c>
      <c r="B248" s="12" t="n">
        <v>15</v>
      </c>
      <c r="C248" s="4" t="s">
        <v>74</v>
      </c>
      <c r="D248" s="12" t="n">
        <v>900</v>
      </c>
      <c r="E248" s="12" t="n">
        <v>0</v>
      </c>
      <c r="F248" s="12" t="n">
        <v>0</v>
      </c>
      <c r="G248" s="12" t="n">
        <v>100</v>
      </c>
      <c r="H248" s="13" t="n">
        <f aca="false">B248*D248/100</f>
        <v>135</v>
      </c>
      <c r="I248" s="13" t="n">
        <f aca="false">B248*E248/100</f>
        <v>0</v>
      </c>
      <c r="J248" s="13" t="n">
        <f aca="false">B248*F248/100</f>
        <v>0</v>
      </c>
      <c r="K248" s="13" t="n">
        <f aca="false">B248*G248/100</f>
        <v>15</v>
      </c>
    </row>
    <row r="249" customFormat="false" ht="15" hidden="false" customHeight="false" outlineLevel="0" collapsed="false">
      <c r="A249" s="5" t="s">
        <v>460</v>
      </c>
      <c r="B249" s="12" t="n">
        <v>100</v>
      </c>
      <c r="C249" s="4" t="s">
        <v>69</v>
      </c>
      <c r="D249" s="12" t="n">
        <v>360</v>
      </c>
      <c r="E249" s="12" t="n">
        <v>12</v>
      </c>
      <c r="F249" s="12" t="n">
        <v>73</v>
      </c>
      <c r="G249" s="12" t="n">
        <v>1.5</v>
      </c>
      <c r="H249" s="13" t="n">
        <f aca="false">B249*D249/100</f>
        <v>360</v>
      </c>
      <c r="I249" s="13" t="n">
        <f aca="false">B249*E249/100</f>
        <v>12</v>
      </c>
      <c r="J249" s="13" t="n">
        <f aca="false">B249*F249/100</f>
        <v>73</v>
      </c>
      <c r="K249" s="13" t="n">
        <f aca="false">B249*G249/100</f>
        <v>1.5</v>
      </c>
    </row>
    <row r="250" customFormat="false" ht="15" hidden="false" customHeight="false" outlineLevel="0" collapsed="false">
      <c r="A250" s="5" t="s">
        <v>463</v>
      </c>
      <c r="B250" s="12" t="n">
        <v>120</v>
      </c>
      <c r="C250" s="4" t="s">
        <v>74</v>
      </c>
      <c r="D250" s="12" t="n">
        <v>0</v>
      </c>
      <c r="E250" s="12" t="n">
        <v>0</v>
      </c>
      <c r="F250" s="12" t="n">
        <v>0</v>
      </c>
      <c r="G250" s="12" t="n">
        <v>0</v>
      </c>
      <c r="H250" s="13" t="n">
        <f aca="false">B250*D250/100</f>
        <v>0</v>
      </c>
      <c r="I250" s="13" t="n">
        <f aca="false">B250*E250/100</f>
        <v>0</v>
      </c>
      <c r="J250" s="13" t="n">
        <f aca="false">B250*F250/100</f>
        <v>0</v>
      </c>
      <c r="K250" s="13" t="n">
        <f aca="false">B250*G250/100</f>
        <v>0</v>
      </c>
    </row>
    <row r="251" customFormat="false" ht="15" hidden="false" customHeight="false" outlineLevel="0" collapsed="false">
      <c r="A251" s="5" t="s">
        <v>98</v>
      </c>
      <c r="B251" s="12" t="n">
        <v>0.5</v>
      </c>
      <c r="C251" s="4" t="s">
        <v>69</v>
      </c>
      <c r="D251" s="12" t="n">
        <v>0</v>
      </c>
      <c r="E251" s="12" t="n">
        <v>0</v>
      </c>
      <c r="F251" s="12" t="n">
        <v>0</v>
      </c>
      <c r="G251" s="12" t="n">
        <v>0</v>
      </c>
      <c r="H251" s="13" t="n">
        <f aca="false">B251*D251/100</f>
        <v>0</v>
      </c>
      <c r="I251" s="13" t="n">
        <f aca="false">B251*E251/100</f>
        <v>0</v>
      </c>
      <c r="J251" s="13" t="n">
        <f aca="false">B251*F251/100</f>
        <v>0</v>
      </c>
      <c r="K251" s="13" t="n">
        <f aca="false">B251*G251/100</f>
        <v>0</v>
      </c>
    </row>
    <row r="252" customFormat="false" ht="15" hidden="false" customHeight="false" outlineLevel="0" collapsed="false">
      <c r="A252" s="5" t="s">
        <v>95</v>
      </c>
      <c r="B252" s="12" t="n">
        <v>0.5</v>
      </c>
      <c r="C252" s="4" t="s">
        <v>69</v>
      </c>
      <c r="D252" s="12" t="n">
        <v>0</v>
      </c>
      <c r="E252" s="12" t="n">
        <v>0</v>
      </c>
      <c r="F252" s="12" t="n">
        <v>0</v>
      </c>
      <c r="G252" s="12" t="n">
        <v>0</v>
      </c>
      <c r="H252" s="13" t="n">
        <f aca="false">B252*D252/100</f>
        <v>0</v>
      </c>
      <c r="I252" s="13" t="n">
        <f aca="false">B252*E252/100</f>
        <v>0</v>
      </c>
      <c r="J252" s="13" t="n">
        <f aca="false">B252*F252/100</f>
        <v>0</v>
      </c>
      <c r="K252" s="13" t="n">
        <f aca="false">B252*G252/100</f>
        <v>0</v>
      </c>
    </row>
    <row r="253" customFormat="false" ht="15" hidden="false" customHeight="false" outlineLevel="0" collapsed="false">
      <c r="A253" s="9" t="s">
        <v>637</v>
      </c>
      <c r="H253" s="14" t="n">
        <f aca="false">SUM(H241:H252)</f>
        <v>837.5</v>
      </c>
      <c r="I253" s="14" t="n">
        <f aca="false">SUM(I241:I252)</f>
        <v>50.24</v>
      </c>
      <c r="J253" s="14" t="n">
        <f aca="false">SUM(J241:J252)</f>
        <v>104.65</v>
      </c>
      <c r="K253" s="14" t="n">
        <f aca="false">SUM(K241:K252)</f>
        <v>22.98</v>
      </c>
      <c r="L253" s="9" t="str">
        <f aca="false">IF(H253&gt;=700,"≥ 700 kcal OK","&lt; 700 kcal")</f>
        <v>≥ 700 kcal OK</v>
      </c>
    </row>
    <row r="254" customFormat="false" ht="15" hidden="false" customHeight="false" outlineLevel="0" collapsed="false">
      <c r="A254" s="9" t="s">
        <v>638</v>
      </c>
      <c r="H254" s="7" t="n">
        <f aca="false">H253*2</f>
        <v>1675</v>
      </c>
      <c r="I254" s="7" t="n">
        <f aca="false">I253*2</f>
        <v>100.48</v>
      </c>
      <c r="J254" s="7" t="n">
        <f aca="false">J253*2</f>
        <v>209.3</v>
      </c>
      <c r="K254" s="7" t="n">
        <f aca="false">K253*2</f>
        <v>45.96</v>
      </c>
    </row>
    <row r="255" customFormat="false" ht="15" hidden="false" customHeight="false" outlineLevel="0" collapsed="false">
      <c r="A255" s="4" t="s">
        <v>639</v>
      </c>
      <c r="I255" s="15" t="n">
        <f aca="false">I253*4/H253</f>
        <v>0.23995223880597</v>
      </c>
      <c r="J255" s="15" t="n">
        <f aca="false">J253*4/H253</f>
        <v>0.499820895522388</v>
      </c>
      <c r="K255" s="15" t="n">
        <f aca="false">K253*9/H253</f>
        <v>0.246949253731343</v>
      </c>
    </row>
    <row r="257" customFormat="false" ht="16.15" hidden="false" customHeight="false" outlineLevel="0" collapsed="false">
      <c r="A257" s="1" t="s">
        <v>472</v>
      </c>
    </row>
    <row r="258" customFormat="false" ht="26.85" hidden="false" customHeight="false" outlineLevel="0" collapsed="false">
      <c r="A258" s="3" t="s">
        <v>626</v>
      </c>
      <c r="B258" s="3" t="s">
        <v>627</v>
      </c>
      <c r="C258" s="3" t="s">
        <v>64</v>
      </c>
      <c r="D258" s="3" t="s">
        <v>628</v>
      </c>
      <c r="E258" s="3" t="s">
        <v>629</v>
      </c>
      <c r="F258" s="3" t="s">
        <v>630</v>
      </c>
      <c r="G258" s="3" t="s">
        <v>631</v>
      </c>
      <c r="H258" s="3" t="s">
        <v>632</v>
      </c>
      <c r="I258" s="3" t="s">
        <v>633</v>
      </c>
      <c r="J258" s="3" t="s">
        <v>634</v>
      </c>
      <c r="K258" s="3" t="s">
        <v>635</v>
      </c>
      <c r="L258" s="3" t="s">
        <v>636</v>
      </c>
    </row>
    <row r="259" customFormat="false" ht="15" hidden="false" customHeight="false" outlineLevel="0" collapsed="false">
      <c r="A259" s="5" t="s">
        <v>477</v>
      </c>
      <c r="B259" s="12" t="n">
        <v>150</v>
      </c>
      <c r="C259" s="4" t="s">
        <v>69</v>
      </c>
      <c r="D259" s="12" t="n">
        <v>110</v>
      </c>
      <c r="E259" s="12" t="n">
        <v>23</v>
      </c>
      <c r="F259" s="12" t="n">
        <v>0</v>
      </c>
      <c r="G259" s="12" t="n">
        <v>2</v>
      </c>
      <c r="H259" s="13" t="n">
        <f aca="false">B259*D259/100</f>
        <v>165</v>
      </c>
      <c r="I259" s="13" t="n">
        <f aca="false">B259*E259/100</f>
        <v>34.5</v>
      </c>
      <c r="J259" s="13" t="n">
        <f aca="false">B259*F259/100</f>
        <v>0</v>
      </c>
      <c r="K259" s="13" t="n">
        <f aca="false">B259*G259/100</f>
        <v>3</v>
      </c>
    </row>
    <row r="260" customFormat="false" ht="15" hidden="false" customHeight="false" outlineLevel="0" collapsed="false">
      <c r="A260" s="5" t="s">
        <v>478</v>
      </c>
      <c r="B260" s="12" t="n">
        <v>200</v>
      </c>
      <c r="C260" s="4" t="s">
        <v>69</v>
      </c>
      <c r="D260" s="12" t="n">
        <v>22</v>
      </c>
      <c r="E260" s="12" t="n">
        <v>1</v>
      </c>
      <c r="F260" s="12" t="n">
        <v>4</v>
      </c>
      <c r="G260" s="12" t="n">
        <v>0.2</v>
      </c>
      <c r="H260" s="13" t="n">
        <f aca="false">B260*D260/100</f>
        <v>44</v>
      </c>
      <c r="I260" s="13" t="n">
        <f aca="false">B260*E260/100</f>
        <v>2</v>
      </c>
      <c r="J260" s="13" t="n">
        <f aca="false">B260*F260/100</f>
        <v>8</v>
      </c>
      <c r="K260" s="13" t="n">
        <f aca="false">B260*G260/100</f>
        <v>0.4</v>
      </c>
    </row>
    <row r="261" customFormat="false" ht="15" hidden="false" customHeight="false" outlineLevel="0" collapsed="false">
      <c r="A261" s="5" t="s">
        <v>285</v>
      </c>
      <c r="B261" s="12" t="n">
        <v>40</v>
      </c>
      <c r="C261" s="4" t="s">
        <v>69</v>
      </c>
      <c r="D261" s="12" t="n">
        <v>25</v>
      </c>
      <c r="E261" s="12" t="n">
        <v>1</v>
      </c>
      <c r="F261" s="12" t="n">
        <v>4</v>
      </c>
      <c r="G261" s="12" t="n">
        <v>0.3</v>
      </c>
      <c r="H261" s="13" t="n">
        <f aca="false">B261*D261/100</f>
        <v>10</v>
      </c>
      <c r="I261" s="13" t="n">
        <f aca="false">B261*E261/100</f>
        <v>0.4</v>
      </c>
      <c r="J261" s="13" t="n">
        <f aca="false">B261*F261/100</f>
        <v>1.6</v>
      </c>
      <c r="K261" s="13" t="n">
        <f aca="false">B261*G261/100</f>
        <v>0.12</v>
      </c>
    </row>
    <row r="262" customFormat="false" ht="15" hidden="false" customHeight="false" outlineLevel="0" collapsed="false">
      <c r="A262" s="5" t="s">
        <v>283</v>
      </c>
      <c r="B262" s="12" t="n">
        <v>20</v>
      </c>
      <c r="C262" s="4" t="s">
        <v>69</v>
      </c>
      <c r="D262" s="12" t="n">
        <v>25</v>
      </c>
      <c r="E262" s="12" t="n">
        <v>1</v>
      </c>
      <c r="F262" s="12" t="n">
        <v>4</v>
      </c>
      <c r="G262" s="12" t="n">
        <v>0.3</v>
      </c>
      <c r="H262" s="13" t="n">
        <f aca="false">B262*D262/100</f>
        <v>5</v>
      </c>
      <c r="I262" s="13" t="n">
        <f aca="false">B262*E262/100</f>
        <v>0.2</v>
      </c>
      <c r="J262" s="13" t="n">
        <f aca="false">B262*F262/100</f>
        <v>0.8</v>
      </c>
      <c r="K262" s="13" t="n">
        <f aca="false">B262*G262/100</f>
        <v>0.06</v>
      </c>
    </row>
    <row r="263" customFormat="false" ht="15" hidden="false" customHeight="false" outlineLevel="0" collapsed="false">
      <c r="A263" s="5" t="s">
        <v>117</v>
      </c>
      <c r="B263" s="12" t="n">
        <v>30</v>
      </c>
      <c r="C263" s="4" t="s">
        <v>69</v>
      </c>
      <c r="D263" s="12" t="n">
        <v>40</v>
      </c>
      <c r="E263" s="12" t="n">
        <v>1</v>
      </c>
      <c r="F263" s="12" t="n">
        <v>8</v>
      </c>
      <c r="G263" s="12" t="n">
        <v>0</v>
      </c>
      <c r="H263" s="13" t="n">
        <f aca="false">B263*D263/100</f>
        <v>12</v>
      </c>
      <c r="I263" s="13" t="n">
        <f aca="false">B263*E263/100</f>
        <v>0.3</v>
      </c>
      <c r="J263" s="13" t="n">
        <f aca="false">B263*F263/100</f>
        <v>2.4</v>
      </c>
      <c r="K263" s="13" t="n">
        <f aca="false">B263*G263/100</f>
        <v>0</v>
      </c>
    </row>
    <row r="264" customFormat="false" ht="15" hidden="false" customHeight="false" outlineLevel="0" collapsed="false">
      <c r="A264" s="5" t="s">
        <v>212</v>
      </c>
      <c r="B264" s="12" t="n">
        <v>3</v>
      </c>
      <c r="C264" s="4" t="s">
        <v>69</v>
      </c>
      <c r="D264" s="12" t="n">
        <v>330</v>
      </c>
      <c r="E264" s="12" t="n">
        <v>17</v>
      </c>
      <c r="F264" s="12" t="n">
        <v>70</v>
      </c>
      <c r="G264" s="12" t="n">
        <v>1</v>
      </c>
      <c r="H264" s="13" t="n">
        <f aca="false">B264*D264/100</f>
        <v>9.9</v>
      </c>
      <c r="I264" s="13" t="n">
        <f aca="false">B264*E264/100</f>
        <v>0.51</v>
      </c>
      <c r="J264" s="13" t="n">
        <f aca="false">B264*F264/100</f>
        <v>2.1</v>
      </c>
      <c r="K264" s="13" t="n">
        <f aca="false">B264*G264/100</f>
        <v>0.03</v>
      </c>
    </row>
    <row r="265" customFormat="false" ht="15" hidden="false" customHeight="false" outlineLevel="0" collapsed="false">
      <c r="A265" s="5" t="s">
        <v>481</v>
      </c>
      <c r="B265" s="12" t="n">
        <v>1</v>
      </c>
      <c r="C265" s="4" t="s">
        <v>69</v>
      </c>
      <c r="D265" s="12" t="n">
        <v>280</v>
      </c>
      <c r="E265" s="12" t="n">
        <v>14</v>
      </c>
      <c r="F265" s="12" t="n">
        <v>50</v>
      </c>
      <c r="G265" s="12" t="n">
        <v>13</v>
      </c>
      <c r="H265" s="13" t="n">
        <f aca="false">B265*D265/100</f>
        <v>2.8</v>
      </c>
      <c r="I265" s="13" t="n">
        <f aca="false">B265*E265/100</f>
        <v>0.14</v>
      </c>
      <c r="J265" s="13" t="n">
        <f aca="false">B265*F265/100</f>
        <v>0.5</v>
      </c>
      <c r="K265" s="13" t="n">
        <f aca="false">B265*G265/100</f>
        <v>0.13</v>
      </c>
    </row>
    <row r="266" customFormat="false" ht="15" hidden="false" customHeight="false" outlineLevel="0" collapsed="false">
      <c r="A266" s="5" t="s">
        <v>91</v>
      </c>
      <c r="B266" s="12" t="n">
        <v>90</v>
      </c>
      <c r="C266" s="4" t="s">
        <v>69</v>
      </c>
      <c r="D266" s="12" t="n">
        <v>350</v>
      </c>
      <c r="E266" s="12" t="n">
        <v>7</v>
      </c>
      <c r="F266" s="12" t="n">
        <v>78</v>
      </c>
      <c r="G266" s="12" t="n">
        <v>0.6</v>
      </c>
      <c r="H266" s="13" t="n">
        <f aca="false">B266*D266/100</f>
        <v>315</v>
      </c>
      <c r="I266" s="13" t="n">
        <f aca="false">B266*E266/100</f>
        <v>6.3</v>
      </c>
      <c r="J266" s="13" t="n">
        <f aca="false">B266*F266/100</f>
        <v>70.2</v>
      </c>
      <c r="K266" s="13" t="n">
        <f aca="false">B266*G266/100</f>
        <v>0.54</v>
      </c>
    </row>
    <row r="267" customFormat="false" ht="15" hidden="false" customHeight="false" outlineLevel="0" collapsed="false">
      <c r="A267" s="5" t="s">
        <v>308</v>
      </c>
      <c r="B267" s="12" t="n">
        <v>10</v>
      </c>
      <c r="C267" s="4" t="s">
        <v>69</v>
      </c>
      <c r="D267" s="12" t="n">
        <v>750</v>
      </c>
      <c r="E267" s="12" t="n">
        <v>0.5</v>
      </c>
      <c r="F267" s="12" t="n">
        <v>0.5</v>
      </c>
      <c r="G267" s="12" t="n">
        <v>82</v>
      </c>
      <c r="H267" s="13" t="n">
        <f aca="false">B267*D267/100</f>
        <v>75</v>
      </c>
      <c r="I267" s="13" t="n">
        <f aca="false">B267*E267/100</f>
        <v>0.05</v>
      </c>
      <c r="J267" s="13" t="n">
        <f aca="false">B267*F267/100</f>
        <v>0.05</v>
      </c>
      <c r="K267" s="13" t="n">
        <f aca="false">B267*G267/100</f>
        <v>8.2</v>
      </c>
    </row>
    <row r="268" customFormat="false" ht="15" hidden="false" customHeight="false" outlineLevel="0" collapsed="false">
      <c r="A268" s="5" t="s">
        <v>168</v>
      </c>
      <c r="B268" s="12" t="n">
        <v>10</v>
      </c>
      <c r="C268" s="4" t="s">
        <v>74</v>
      </c>
      <c r="D268" s="12" t="n">
        <v>900</v>
      </c>
      <c r="E268" s="12" t="n">
        <v>0</v>
      </c>
      <c r="F268" s="12" t="n">
        <v>0</v>
      </c>
      <c r="G268" s="12" t="n">
        <v>100</v>
      </c>
      <c r="H268" s="13" t="n">
        <f aca="false">B268*D268/100</f>
        <v>90</v>
      </c>
      <c r="I268" s="13" t="n">
        <f aca="false">B268*E268/100</f>
        <v>0</v>
      </c>
      <c r="J268" s="13" t="n">
        <f aca="false">B268*F268/100</f>
        <v>0</v>
      </c>
      <c r="K268" s="13" t="n">
        <f aca="false">B268*G268/100</f>
        <v>10</v>
      </c>
    </row>
    <row r="269" customFormat="false" ht="15" hidden="false" customHeight="false" outlineLevel="0" collapsed="false">
      <c r="A269" s="5" t="s">
        <v>95</v>
      </c>
      <c r="B269" s="12" t="n">
        <v>1</v>
      </c>
      <c r="C269" s="4" t="s">
        <v>69</v>
      </c>
      <c r="D269" s="12" t="n">
        <v>0</v>
      </c>
      <c r="E269" s="12" t="n">
        <v>0</v>
      </c>
      <c r="F269" s="12" t="n">
        <v>0</v>
      </c>
      <c r="G269" s="12" t="n">
        <v>0</v>
      </c>
      <c r="H269" s="13" t="n">
        <f aca="false">B269*D269/100</f>
        <v>0</v>
      </c>
      <c r="I269" s="13" t="n">
        <f aca="false">B269*E269/100</f>
        <v>0</v>
      </c>
      <c r="J269" s="13" t="n">
        <f aca="false">B269*F269/100</f>
        <v>0</v>
      </c>
      <c r="K269" s="13" t="n">
        <f aca="false">B269*G269/100</f>
        <v>0</v>
      </c>
    </row>
    <row r="270" customFormat="false" ht="15" hidden="false" customHeight="false" outlineLevel="0" collapsed="false">
      <c r="A270" s="5" t="s">
        <v>98</v>
      </c>
      <c r="B270" s="12" t="n">
        <v>0.5</v>
      </c>
      <c r="C270" s="4" t="s">
        <v>69</v>
      </c>
      <c r="D270" s="12" t="n">
        <v>0</v>
      </c>
      <c r="E270" s="12" t="n">
        <v>0</v>
      </c>
      <c r="F270" s="12" t="n">
        <v>0</v>
      </c>
      <c r="G270" s="12" t="n">
        <v>0</v>
      </c>
      <c r="H270" s="13" t="n">
        <f aca="false">B270*D270/100</f>
        <v>0</v>
      </c>
      <c r="I270" s="13" t="n">
        <f aca="false">B270*E270/100</f>
        <v>0</v>
      </c>
      <c r="J270" s="13" t="n">
        <f aca="false">B270*F270/100</f>
        <v>0</v>
      </c>
      <c r="K270" s="13" t="n">
        <f aca="false">B270*G270/100</f>
        <v>0</v>
      </c>
    </row>
    <row r="271" customFormat="false" ht="15" hidden="false" customHeight="false" outlineLevel="0" collapsed="false">
      <c r="A271" s="9" t="s">
        <v>637</v>
      </c>
      <c r="H271" s="14" t="n">
        <f aca="false">SUM(H259:H270)</f>
        <v>728.7</v>
      </c>
      <c r="I271" s="14" t="n">
        <f aca="false">SUM(I259:I270)</f>
        <v>44.4</v>
      </c>
      <c r="J271" s="14" t="n">
        <f aca="false">SUM(J259:J270)</f>
        <v>85.65</v>
      </c>
      <c r="K271" s="14" t="n">
        <f aca="false">SUM(K259:K270)</f>
        <v>22.48</v>
      </c>
      <c r="L271" s="9" t="str">
        <f aca="false">IF(H271&gt;=700,"≥ 700 kcal OK","&lt; 700 kcal")</f>
        <v>≥ 700 kcal OK</v>
      </c>
    </row>
    <row r="272" customFormat="false" ht="15" hidden="false" customHeight="false" outlineLevel="0" collapsed="false">
      <c r="A272" s="9" t="s">
        <v>638</v>
      </c>
      <c r="H272" s="7" t="n">
        <f aca="false">H271*2</f>
        <v>1457.4</v>
      </c>
      <c r="I272" s="7" t="n">
        <f aca="false">I271*2</f>
        <v>88.8</v>
      </c>
      <c r="J272" s="7" t="n">
        <f aca="false">J271*2</f>
        <v>171.3</v>
      </c>
      <c r="K272" s="7" t="n">
        <f aca="false">K271*2</f>
        <v>44.96</v>
      </c>
    </row>
    <row r="273" customFormat="false" ht="15" hidden="false" customHeight="false" outlineLevel="0" collapsed="false">
      <c r="A273" s="4" t="s">
        <v>639</v>
      </c>
      <c r="I273" s="15" t="n">
        <f aca="false">I271*4/H271</f>
        <v>0.243721696171264</v>
      </c>
      <c r="J273" s="15" t="n">
        <f aca="false">J271*4/H271</f>
        <v>0.470152326060107</v>
      </c>
      <c r="K273" s="15" t="n">
        <f aca="false">K271*9/H271</f>
        <v>0.277645121449156</v>
      </c>
    </row>
    <row r="275" customFormat="false" ht="16.15" hidden="false" customHeight="false" outlineLevel="0" collapsed="false">
      <c r="A275" s="1" t="s">
        <v>490</v>
      </c>
    </row>
    <row r="276" customFormat="false" ht="26.85" hidden="false" customHeight="false" outlineLevel="0" collapsed="false">
      <c r="A276" s="3" t="s">
        <v>626</v>
      </c>
      <c r="B276" s="3" t="s">
        <v>627</v>
      </c>
      <c r="C276" s="3" t="s">
        <v>64</v>
      </c>
      <c r="D276" s="3" t="s">
        <v>628</v>
      </c>
      <c r="E276" s="3" t="s">
        <v>629</v>
      </c>
      <c r="F276" s="3" t="s">
        <v>630</v>
      </c>
      <c r="G276" s="3" t="s">
        <v>631</v>
      </c>
      <c r="H276" s="3" t="s">
        <v>632</v>
      </c>
      <c r="I276" s="3" t="s">
        <v>633</v>
      </c>
      <c r="J276" s="3" t="s">
        <v>634</v>
      </c>
      <c r="K276" s="3" t="s">
        <v>635</v>
      </c>
      <c r="L276" s="3" t="s">
        <v>636</v>
      </c>
    </row>
    <row r="277" customFormat="false" ht="15" hidden="false" customHeight="false" outlineLevel="0" collapsed="false">
      <c r="A277" s="5" t="s">
        <v>196</v>
      </c>
      <c r="B277" s="12" t="n">
        <v>110</v>
      </c>
      <c r="C277" s="4" t="s">
        <v>69</v>
      </c>
      <c r="D277" s="12" t="n">
        <v>145</v>
      </c>
      <c r="E277" s="12" t="n">
        <v>12.5</v>
      </c>
      <c r="F277" s="12" t="n">
        <v>1</v>
      </c>
      <c r="G277" s="12" t="n">
        <v>10</v>
      </c>
      <c r="H277" s="13" t="n">
        <f aca="false">B277*D277/100</f>
        <v>159.5</v>
      </c>
      <c r="I277" s="13" t="n">
        <f aca="false">B277*E277/100</f>
        <v>13.75</v>
      </c>
      <c r="J277" s="13" t="n">
        <f aca="false">B277*F277/100</f>
        <v>1.1</v>
      </c>
      <c r="K277" s="13" t="n">
        <f aca="false">B277*G277/100</f>
        <v>11</v>
      </c>
    </row>
    <row r="278" customFormat="false" ht="15" hidden="false" customHeight="false" outlineLevel="0" collapsed="false">
      <c r="A278" s="5" t="s">
        <v>496</v>
      </c>
      <c r="B278" s="12" t="n">
        <v>40</v>
      </c>
      <c r="C278" s="4" t="s">
        <v>69</v>
      </c>
      <c r="D278" s="12" t="n">
        <v>200</v>
      </c>
      <c r="E278" s="12" t="n">
        <v>12</v>
      </c>
      <c r="F278" s="12" t="n">
        <v>2</v>
      </c>
      <c r="G278" s="12" t="n">
        <v>16</v>
      </c>
      <c r="H278" s="13" t="n">
        <f aca="false">B278*D278/100</f>
        <v>80</v>
      </c>
      <c r="I278" s="13" t="n">
        <f aca="false">B278*E278/100</f>
        <v>4.8</v>
      </c>
      <c r="J278" s="13" t="n">
        <f aca="false">B278*F278/100</f>
        <v>0.8</v>
      </c>
      <c r="K278" s="13" t="n">
        <f aca="false">B278*G278/100</f>
        <v>6.4</v>
      </c>
    </row>
    <row r="279" customFormat="false" ht="15" hidden="false" customHeight="false" outlineLevel="0" collapsed="false">
      <c r="A279" s="5" t="s">
        <v>499</v>
      </c>
      <c r="B279" s="12" t="n">
        <v>130</v>
      </c>
      <c r="C279" s="4" t="s">
        <v>69</v>
      </c>
      <c r="D279" s="12" t="n">
        <v>280</v>
      </c>
      <c r="E279" s="12" t="n">
        <v>9</v>
      </c>
      <c r="F279" s="12" t="n">
        <v>52</v>
      </c>
      <c r="G279" s="12" t="n">
        <v>3</v>
      </c>
      <c r="H279" s="13" t="n">
        <f aca="false">B279*D279/100</f>
        <v>364</v>
      </c>
      <c r="I279" s="13" t="n">
        <f aca="false">B279*E279/100</f>
        <v>11.7</v>
      </c>
      <c r="J279" s="13" t="n">
        <f aca="false">B279*F279/100</f>
        <v>67.6</v>
      </c>
      <c r="K279" s="13" t="n">
        <f aca="false">B279*G279/100</f>
        <v>3.9</v>
      </c>
    </row>
    <row r="280" customFormat="false" ht="15" hidden="false" customHeight="false" outlineLevel="0" collapsed="false">
      <c r="A280" s="5" t="s">
        <v>285</v>
      </c>
      <c r="B280" s="12" t="n">
        <v>75</v>
      </c>
      <c r="C280" s="4" t="s">
        <v>69</v>
      </c>
      <c r="D280" s="12" t="n">
        <v>25</v>
      </c>
      <c r="E280" s="12" t="n">
        <v>1</v>
      </c>
      <c r="F280" s="12" t="n">
        <v>4</v>
      </c>
      <c r="G280" s="12" t="n">
        <v>0.3</v>
      </c>
      <c r="H280" s="13" t="n">
        <f aca="false">B280*D280/100</f>
        <v>18.75</v>
      </c>
      <c r="I280" s="13" t="n">
        <f aca="false">B280*E280/100</f>
        <v>0.75</v>
      </c>
      <c r="J280" s="13" t="n">
        <f aca="false">B280*F280/100</f>
        <v>3</v>
      </c>
      <c r="K280" s="13" t="n">
        <f aca="false">B280*G280/100</f>
        <v>0.225</v>
      </c>
    </row>
    <row r="281" customFormat="false" ht="15" hidden="false" customHeight="false" outlineLevel="0" collapsed="false">
      <c r="A281" s="5" t="s">
        <v>503</v>
      </c>
      <c r="B281" s="12" t="n">
        <v>100</v>
      </c>
      <c r="C281" s="4" t="s">
        <v>69</v>
      </c>
      <c r="D281" s="12" t="n">
        <v>22</v>
      </c>
      <c r="E281" s="12" t="n">
        <v>1</v>
      </c>
      <c r="F281" s="12" t="n">
        <v>4</v>
      </c>
      <c r="G281" s="12" t="n">
        <v>0.2</v>
      </c>
      <c r="H281" s="13" t="n">
        <f aca="false">B281*D281/100</f>
        <v>22</v>
      </c>
      <c r="I281" s="13" t="n">
        <f aca="false">B281*E281/100</f>
        <v>1</v>
      </c>
      <c r="J281" s="13" t="n">
        <f aca="false">B281*F281/100</f>
        <v>4</v>
      </c>
      <c r="K281" s="13" t="n">
        <f aca="false">B281*G281/100</f>
        <v>0.2</v>
      </c>
    </row>
    <row r="282" customFormat="false" ht="15" hidden="false" customHeight="false" outlineLevel="0" collapsed="false">
      <c r="A282" s="5" t="s">
        <v>383</v>
      </c>
      <c r="B282" s="12" t="n">
        <v>50</v>
      </c>
      <c r="C282" s="4" t="s">
        <v>69</v>
      </c>
      <c r="D282" s="12" t="n">
        <v>40</v>
      </c>
      <c r="E282" s="12" t="n">
        <v>1</v>
      </c>
      <c r="F282" s="12" t="n">
        <v>8</v>
      </c>
      <c r="G282" s="12" t="n">
        <v>0</v>
      </c>
      <c r="H282" s="13" t="n">
        <f aca="false">B282*D282/100</f>
        <v>20</v>
      </c>
      <c r="I282" s="13" t="n">
        <f aca="false">B282*E282/100</f>
        <v>0.5</v>
      </c>
      <c r="J282" s="13" t="n">
        <f aca="false">B282*F282/100</f>
        <v>4</v>
      </c>
      <c r="K282" s="13" t="n">
        <f aca="false">B282*G282/100</f>
        <v>0</v>
      </c>
    </row>
    <row r="283" customFormat="false" ht="15" hidden="false" customHeight="false" outlineLevel="0" collapsed="false">
      <c r="A283" s="5" t="s">
        <v>504</v>
      </c>
      <c r="B283" s="12" t="n">
        <v>0.5</v>
      </c>
      <c r="C283" s="4" t="s">
        <v>69</v>
      </c>
      <c r="D283" s="12" t="n">
        <v>270</v>
      </c>
      <c r="E283" s="12" t="n">
        <v>9</v>
      </c>
      <c r="F283" s="12" t="n">
        <v>65</v>
      </c>
      <c r="G283" s="12" t="n">
        <v>4</v>
      </c>
      <c r="H283" s="13" t="n">
        <f aca="false">B283*D283/100</f>
        <v>1.35</v>
      </c>
      <c r="I283" s="13" t="n">
        <f aca="false">B283*E283/100</f>
        <v>0.045</v>
      </c>
      <c r="J283" s="13" t="n">
        <f aca="false">B283*F283/100</f>
        <v>0.325</v>
      </c>
      <c r="K283" s="13" t="n">
        <f aca="false">B283*G283/100</f>
        <v>0.02</v>
      </c>
    </row>
    <row r="284" customFormat="false" ht="15" hidden="false" customHeight="false" outlineLevel="0" collapsed="false">
      <c r="A284" s="5" t="s">
        <v>332</v>
      </c>
      <c r="B284" s="12" t="n">
        <v>0.5</v>
      </c>
      <c r="C284" s="4" t="s">
        <v>69</v>
      </c>
      <c r="D284" s="12" t="n">
        <v>300</v>
      </c>
      <c r="E284" s="12" t="n">
        <v>12</v>
      </c>
      <c r="F284" s="12" t="n">
        <v>55</v>
      </c>
      <c r="G284" s="12" t="n">
        <v>18</v>
      </c>
      <c r="H284" s="13" t="n">
        <f aca="false">B284*D284/100</f>
        <v>1.5</v>
      </c>
      <c r="I284" s="13" t="n">
        <f aca="false">B284*E284/100</f>
        <v>0.06</v>
      </c>
      <c r="J284" s="13" t="n">
        <f aca="false">B284*F284/100</f>
        <v>0.275</v>
      </c>
      <c r="K284" s="13" t="n">
        <f aca="false">B284*G284/100</f>
        <v>0.09</v>
      </c>
    </row>
    <row r="285" customFormat="false" ht="15" hidden="false" customHeight="false" outlineLevel="0" collapsed="false">
      <c r="A285" s="5" t="s">
        <v>168</v>
      </c>
      <c r="B285" s="12" t="n">
        <v>8</v>
      </c>
      <c r="C285" s="4" t="s">
        <v>74</v>
      </c>
      <c r="D285" s="12" t="n">
        <v>900</v>
      </c>
      <c r="E285" s="12" t="n">
        <v>0</v>
      </c>
      <c r="F285" s="12" t="n">
        <v>0</v>
      </c>
      <c r="G285" s="12" t="n">
        <v>100</v>
      </c>
      <c r="H285" s="13" t="n">
        <f aca="false">B285*D285/100</f>
        <v>72</v>
      </c>
      <c r="I285" s="13" t="n">
        <f aca="false">B285*E285/100</f>
        <v>0</v>
      </c>
      <c r="J285" s="13" t="n">
        <f aca="false">B285*F285/100</f>
        <v>0</v>
      </c>
      <c r="K285" s="13" t="n">
        <f aca="false">B285*G285/100</f>
        <v>8</v>
      </c>
    </row>
    <row r="286" customFormat="false" ht="15" hidden="false" customHeight="false" outlineLevel="0" collapsed="false">
      <c r="A286" s="5" t="s">
        <v>506</v>
      </c>
      <c r="B286" s="12" t="n">
        <v>0.5</v>
      </c>
      <c r="C286" s="4" t="s">
        <v>69</v>
      </c>
      <c r="D286" s="12" t="n">
        <v>400</v>
      </c>
      <c r="E286" s="12" t="n">
        <v>0</v>
      </c>
      <c r="F286" s="12" t="n">
        <v>100</v>
      </c>
      <c r="G286" s="12" t="n">
        <v>0</v>
      </c>
      <c r="H286" s="13" t="n">
        <f aca="false">B286*D286/100</f>
        <v>2</v>
      </c>
      <c r="I286" s="13" t="n">
        <f aca="false">B286*E286/100</f>
        <v>0</v>
      </c>
      <c r="J286" s="13" t="n">
        <f aca="false">B286*F286/100</f>
        <v>0.5</v>
      </c>
      <c r="K286" s="13" t="n">
        <f aca="false">B286*G286/100</f>
        <v>0</v>
      </c>
    </row>
    <row r="287" customFormat="false" ht="15" hidden="false" customHeight="false" outlineLevel="0" collapsed="false">
      <c r="A287" s="5" t="s">
        <v>95</v>
      </c>
      <c r="B287" s="12" t="n">
        <v>0.5</v>
      </c>
      <c r="C287" s="4" t="s">
        <v>69</v>
      </c>
      <c r="D287" s="12" t="n">
        <v>0</v>
      </c>
      <c r="E287" s="12" t="n">
        <v>0</v>
      </c>
      <c r="F287" s="12" t="n">
        <v>0</v>
      </c>
      <c r="G287" s="12" t="n">
        <v>0</v>
      </c>
      <c r="H287" s="13" t="n">
        <f aca="false">B287*D287/100</f>
        <v>0</v>
      </c>
      <c r="I287" s="13" t="n">
        <f aca="false">B287*E287/100</f>
        <v>0</v>
      </c>
      <c r="J287" s="13" t="n">
        <f aca="false">B287*F287/100</f>
        <v>0</v>
      </c>
      <c r="K287" s="13" t="n">
        <f aca="false">B287*G287/100</f>
        <v>0</v>
      </c>
    </row>
    <row r="288" customFormat="false" ht="15" hidden="false" customHeight="false" outlineLevel="0" collapsed="false">
      <c r="A288" s="5" t="s">
        <v>98</v>
      </c>
      <c r="B288" s="12" t="n">
        <v>0.5</v>
      </c>
      <c r="C288" s="4" t="s">
        <v>69</v>
      </c>
      <c r="D288" s="12" t="n">
        <v>0</v>
      </c>
      <c r="E288" s="12" t="n">
        <v>0</v>
      </c>
      <c r="F288" s="12" t="n">
        <v>0</v>
      </c>
      <c r="G288" s="12" t="n">
        <v>0</v>
      </c>
      <c r="H288" s="13" t="n">
        <f aca="false">B288*D288/100</f>
        <v>0</v>
      </c>
      <c r="I288" s="13" t="n">
        <f aca="false">B288*E288/100</f>
        <v>0</v>
      </c>
      <c r="J288" s="13" t="n">
        <f aca="false">B288*F288/100</f>
        <v>0</v>
      </c>
      <c r="K288" s="13" t="n">
        <f aca="false">B288*G288/100</f>
        <v>0</v>
      </c>
    </row>
    <row r="289" customFormat="false" ht="15" hidden="false" customHeight="false" outlineLevel="0" collapsed="false">
      <c r="A289" s="9" t="s">
        <v>637</v>
      </c>
      <c r="H289" s="14" t="n">
        <f aca="false">SUM(H277:H288)</f>
        <v>741.1</v>
      </c>
      <c r="I289" s="14" t="n">
        <f aca="false">SUM(I277:I288)</f>
        <v>32.605</v>
      </c>
      <c r="J289" s="14" t="n">
        <f aca="false">SUM(J277:J288)</f>
        <v>81.6</v>
      </c>
      <c r="K289" s="14" t="n">
        <f aca="false">SUM(K277:K288)</f>
        <v>29.835</v>
      </c>
      <c r="L289" s="9" t="str">
        <f aca="false">IF(H289&gt;=700,"≥ 700 kcal OK","&lt; 700 kcal")</f>
        <v>≥ 700 kcal OK</v>
      </c>
    </row>
    <row r="290" customFormat="false" ht="15" hidden="false" customHeight="false" outlineLevel="0" collapsed="false">
      <c r="A290" s="9" t="s">
        <v>638</v>
      </c>
      <c r="H290" s="7" t="n">
        <f aca="false">H289*2</f>
        <v>1482.2</v>
      </c>
      <c r="I290" s="7" t="n">
        <f aca="false">I289*2</f>
        <v>65.21</v>
      </c>
      <c r="J290" s="7" t="n">
        <f aca="false">J289*2</f>
        <v>163.2</v>
      </c>
      <c r="K290" s="7" t="n">
        <f aca="false">K289*2</f>
        <v>59.67</v>
      </c>
    </row>
    <row r="291" customFormat="false" ht="15" hidden="false" customHeight="false" outlineLevel="0" collapsed="false">
      <c r="A291" s="4" t="s">
        <v>639</v>
      </c>
      <c r="I291" s="15" t="n">
        <f aca="false">I289*4/H289</f>
        <v>0.175981648900283</v>
      </c>
      <c r="J291" s="15" t="n">
        <f aca="false">J289*4/H289</f>
        <v>0.440426393199298</v>
      </c>
      <c r="K291" s="15" t="n">
        <f aca="false">K289*9/H289</f>
        <v>0.36231952503036</v>
      </c>
    </row>
    <row r="293" customFormat="false" ht="16.15" hidden="false" customHeight="false" outlineLevel="0" collapsed="false">
      <c r="A293" s="1" t="s">
        <v>514</v>
      </c>
    </row>
    <row r="294" customFormat="false" ht="26.85" hidden="false" customHeight="false" outlineLevel="0" collapsed="false">
      <c r="A294" s="3" t="s">
        <v>626</v>
      </c>
      <c r="B294" s="3" t="s">
        <v>627</v>
      </c>
      <c r="C294" s="3" t="s">
        <v>64</v>
      </c>
      <c r="D294" s="3" t="s">
        <v>628</v>
      </c>
      <c r="E294" s="3" t="s">
        <v>629</v>
      </c>
      <c r="F294" s="3" t="s">
        <v>630</v>
      </c>
      <c r="G294" s="3" t="s">
        <v>631</v>
      </c>
      <c r="H294" s="3" t="s">
        <v>632</v>
      </c>
      <c r="I294" s="3" t="s">
        <v>633</v>
      </c>
      <c r="J294" s="3" t="s">
        <v>634</v>
      </c>
      <c r="K294" s="3" t="s">
        <v>635</v>
      </c>
      <c r="L294" s="3" t="s">
        <v>636</v>
      </c>
    </row>
    <row r="295" customFormat="false" ht="15" hidden="false" customHeight="false" outlineLevel="0" collapsed="false">
      <c r="A295" s="5" t="s">
        <v>517</v>
      </c>
      <c r="B295" s="12" t="n">
        <v>120</v>
      </c>
      <c r="C295" s="4" t="s">
        <v>69</v>
      </c>
      <c r="D295" s="12" t="n">
        <v>355</v>
      </c>
      <c r="E295" s="12" t="n">
        <v>12</v>
      </c>
      <c r="F295" s="12" t="n">
        <v>72</v>
      </c>
      <c r="G295" s="12" t="n">
        <v>1.5</v>
      </c>
      <c r="H295" s="13" t="n">
        <f aca="false">B295*D295/100</f>
        <v>426</v>
      </c>
      <c r="I295" s="13" t="n">
        <f aca="false">B295*E295/100</f>
        <v>14.4</v>
      </c>
      <c r="J295" s="13" t="n">
        <f aca="false">B295*F295/100</f>
        <v>86.4</v>
      </c>
      <c r="K295" s="13" t="n">
        <f aca="false">B295*G295/100</f>
        <v>1.8</v>
      </c>
    </row>
    <row r="296" customFormat="false" ht="15" hidden="false" customHeight="false" outlineLevel="0" collapsed="false">
      <c r="A296" s="5" t="s">
        <v>120</v>
      </c>
      <c r="B296" s="12" t="n">
        <v>50</v>
      </c>
      <c r="C296" s="4" t="s">
        <v>69</v>
      </c>
      <c r="D296" s="12" t="n">
        <v>300</v>
      </c>
      <c r="E296" s="12" t="n">
        <v>15</v>
      </c>
      <c r="F296" s="12" t="n">
        <v>1</v>
      </c>
      <c r="G296" s="12" t="n">
        <v>27</v>
      </c>
      <c r="H296" s="13" t="n">
        <f aca="false">B296*D296/100</f>
        <v>150</v>
      </c>
      <c r="I296" s="13" t="n">
        <f aca="false">B296*E296/100</f>
        <v>7.5</v>
      </c>
      <c r="J296" s="13" t="n">
        <f aca="false">B296*F296/100</f>
        <v>0.5</v>
      </c>
      <c r="K296" s="13" t="n">
        <f aca="false">B296*G296/100</f>
        <v>13.5</v>
      </c>
    </row>
    <row r="297" customFormat="false" ht="15" hidden="false" customHeight="false" outlineLevel="0" collapsed="false">
      <c r="A297" s="5" t="s">
        <v>519</v>
      </c>
      <c r="B297" s="12" t="n">
        <v>75</v>
      </c>
      <c r="C297" s="4" t="s">
        <v>74</v>
      </c>
      <c r="D297" s="12" t="n">
        <v>165</v>
      </c>
      <c r="E297" s="12" t="n">
        <v>2.5</v>
      </c>
      <c r="F297" s="12" t="n">
        <v>4</v>
      </c>
      <c r="G297" s="12" t="n">
        <v>15</v>
      </c>
      <c r="H297" s="13" t="n">
        <f aca="false">B297*D297/100</f>
        <v>123.75</v>
      </c>
      <c r="I297" s="13" t="n">
        <f aca="false">B297*E297/100</f>
        <v>1.875</v>
      </c>
      <c r="J297" s="13" t="n">
        <f aca="false">B297*F297/100</f>
        <v>3</v>
      </c>
      <c r="K297" s="13" t="n">
        <f aca="false">B297*G297/100</f>
        <v>11.25</v>
      </c>
    </row>
    <row r="298" customFormat="false" ht="15" hidden="false" customHeight="false" outlineLevel="0" collapsed="false">
      <c r="A298" s="5" t="s">
        <v>521</v>
      </c>
      <c r="B298" s="12" t="n">
        <v>50</v>
      </c>
      <c r="C298" s="4" t="s">
        <v>69</v>
      </c>
      <c r="D298" s="12" t="n">
        <v>280</v>
      </c>
      <c r="E298" s="12" t="n">
        <v>18</v>
      </c>
      <c r="F298" s="12" t="n">
        <v>1</v>
      </c>
      <c r="G298" s="12" t="n">
        <v>23</v>
      </c>
      <c r="H298" s="13" t="n">
        <f aca="false">B298*D298/100</f>
        <v>140</v>
      </c>
      <c r="I298" s="13" t="n">
        <f aca="false">B298*E298/100</f>
        <v>9</v>
      </c>
      <c r="J298" s="13" t="n">
        <f aca="false">B298*F298/100</f>
        <v>0.5</v>
      </c>
      <c r="K298" s="13" t="n">
        <f aca="false">B298*G298/100</f>
        <v>11.5</v>
      </c>
    </row>
    <row r="299" customFormat="false" ht="15" hidden="false" customHeight="false" outlineLevel="0" collapsed="false">
      <c r="A299" s="5" t="s">
        <v>524</v>
      </c>
      <c r="B299" s="12" t="n">
        <v>15</v>
      </c>
      <c r="C299" s="4" t="s">
        <v>69</v>
      </c>
      <c r="D299" s="12" t="n">
        <v>40</v>
      </c>
      <c r="E299" s="12" t="n">
        <v>1</v>
      </c>
      <c r="F299" s="12" t="n">
        <v>8</v>
      </c>
      <c r="G299" s="12" t="n">
        <v>0</v>
      </c>
      <c r="H299" s="13" t="n">
        <f aca="false">B299*D299/100</f>
        <v>6</v>
      </c>
      <c r="I299" s="13" t="n">
        <f aca="false">B299*E299/100</f>
        <v>0.15</v>
      </c>
      <c r="J299" s="13" t="n">
        <f aca="false">B299*F299/100</f>
        <v>1.2</v>
      </c>
      <c r="K299" s="13" t="n">
        <f aca="false">B299*G299/100</f>
        <v>0</v>
      </c>
    </row>
    <row r="300" customFormat="false" ht="15" hidden="false" customHeight="false" outlineLevel="0" collapsed="false">
      <c r="A300" s="5" t="s">
        <v>526</v>
      </c>
      <c r="B300" s="12" t="n">
        <v>5</v>
      </c>
      <c r="C300" s="4" t="s">
        <v>69</v>
      </c>
      <c r="D300" s="12" t="n">
        <v>320</v>
      </c>
      <c r="E300" s="12" t="n">
        <v>0</v>
      </c>
      <c r="F300" s="12" t="n">
        <v>80</v>
      </c>
      <c r="G300" s="12" t="n">
        <v>0</v>
      </c>
      <c r="H300" s="13" t="n">
        <f aca="false">B300*D300/100</f>
        <v>16</v>
      </c>
      <c r="I300" s="13" t="n">
        <f aca="false">B300*E300/100</f>
        <v>0</v>
      </c>
      <c r="J300" s="13" t="n">
        <f aca="false">B300*F300/100</f>
        <v>4</v>
      </c>
      <c r="K300" s="13" t="n">
        <f aca="false">B300*G300/100</f>
        <v>0</v>
      </c>
    </row>
    <row r="301" customFormat="false" ht="15" hidden="false" customHeight="false" outlineLevel="0" collapsed="false">
      <c r="A301" s="5" t="s">
        <v>504</v>
      </c>
      <c r="B301" s="12" t="n">
        <v>0.5</v>
      </c>
      <c r="C301" s="4" t="s">
        <v>69</v>
      </c>
      <c r="D301" s="12" t="n">
        <v>270</v>
      </c>
      <c r="E301" s="12" t="n">
        <v>9</v>
      </c>
      <c r="F301" s="12" t="n">
        <v>65</v>
      </c>
      <c r="G301" s="12" t="n">
        <v>4</v>
      </c>
      <c r="H301" s="13" t="n">
        <f aca="false">B301*D301/100</f>
        <v>1.35</v>
      </c>
      <c r="I301" s="13" t="n">
        <f aca="false">B301*E301/100</f>
        <v>0.045</v>
      </c>
      <c r="J301" s="13" t="n">
        <f aca="false">B301*F301/100</f>
        <v>0.325</v>
      </c>
      <c r="K301" s="13" t="n">
        <f aca="false">B301*G301/100</f>
        <v>0.02</v>
      </c>
    </row>
    <row r="302" customFormat="false" ht="15" hidden="false" customHeight="false" outlineLevel="0" collapsed="false">
      <c r="A302" s="5" t="s">
        <v>95</v>
      </c>
      <c r="B302" s="12" t="n">
        <v>1</v>
      </c>
      <c r="C302" s="4" t="s">
        <v>69</v>
      </c>
      <c r="D302" s="12" t="n">
        <v>0</v>
      </c>
      <c r="E302" s="12" t="n">
        <v>0</v>
      </c>
      <c r="F302" s="12" t="n">
        <v>0</v>
      </c>
      <c r="G302" s="12" t="n">
        <v>0</v>
      </c>
      <c r="H302" s="13" t="n">
        <f aca="false">B302*D302/100</f>
        <v>0</v>
      </c>
      <c r="I302" s="13" t="n">
        <f aca="false">B302*E302/100</f>
        <v>0</v>
      </c>
      <c r="J302" s="13" t="n">
        <f aca="false">B302*F302/100</f>
        <v>0</v>
      </c>
      <c r="K302" s="13" t="n">
        <f aca="false">B302*G302/100</f>
        <v>0</v>
      </c>
    </row>
    <row r="303" customFormat="false" ht="15" hidden="false" customHeight="false" outlineLevel="0" collapsed="false">
      <c r="A303" s="5" t="s">
        <v>98</v>
      </c>
      <c r="B303" s="12" t="n">
        <v>0.5</v>
      </c>
      <c r="C303" s="4" t="s">
        <v>69</v>
      </c>
      <c r="D303" s="12" t="n">
        <v>0</v>
      </c>
      <c r="E303" s="12" t="n">
        <v>0</v>
      </c>
      <c r="F303" s="12" t="n">
        <v>0</v>
      </c>
      <c r="G303" s="12" t="n">
        <v>0</v>
      </c>
      <c r="H303" s="13" t="n">
        <f aca="false">B303*D303/100</f>
        <v>0</v>
      </c>
      <c r="I303" s="13" t="n">
        <f aca="false">B303*E303/100</f>
        <v>0</v>
      </c>
      <c r="J303" s="13" t="n">
        <f aca="false">B303*F303/100</f>
        <v>0</v>
      </c>
      <c r="K303" s="13" t="n">
        <f aca="false">B303*G303/100</f>
        <v>0</v>
      </c>
    </row>
    <row r="304" customFormat="false" ht="15" hidden="false" customHeight="false" outlineLevel="0" collapsed="false">
      <c r="A304" s="9" t="s">
        <v>637</v>
      </c>
      <c r="H304" s="14" t="n">
        <f aca="false">SUM(H295:H303)</f>
        <v>863.1</v>
      </c>
      <c r="I304" s="14" t="n">
        <f aca="false">SUM(I295:I303)</f>
        <v>32.97</v>
      </c>
      <c r="J304" s="14" t="n">
        <f aca="false">SUM(J295:J303)</f>
        <v>95.925</v>
      </c>
      <c r="K304" s="14" t="n">
        <f aca="false">SUM(K295:K303)</f>
        <v>38.07</v>
      </c>
      <c r="L304" s="9" t="str">
        <f aca="false">IF(H304&gt;=700,"≥ 700 kcal OK","&lt; 700 kcal")</f>
        <v>≥ 700 kcal OK</v>
      </c>
    </row>
    <row r="305" customFormat="false" ht="15" hidden="false" customHeight="false" outlineLevel="0" collapsed="false">
      <c r="A305" s="9" t="s">
        <v>638</v>
      </c>
      <c r="H305" s="7" t="n">
        <f aca="false">H304*2</f>
        <v>1726.2</v>
      </c>
      <c r="I305" s="7" t="n">
        <f aca="false">I304*2</f>
        <v>65.94</v>
      </c>
      <c r="J305" s="7" t="n">
        <f aca="false">J304*2</f>
        <v>191.85</v>
      </c>
      <c r="K305" s="7" t="n">
        <f aca="false">K304*2</f>
        <v>76.14</v>
      </c>
    </row>
    <row r="306" customFormat="false" ht="15" hidden="false" customHeight="false" outlineLevel="0" collapsed="false">
      <c r="A306" s="4" t="s">
        <v>639</v>
      </c>
      <c r="I306" s="15" t="n">
        <f aca="false">I304*4/H304</f>
        <v>0.152798053527981</v>
      </c>
      <c r="J306" s="15" t="n">
        <f aca="false">J304*4/H304</f>
        <v>0.444560305874175</v>
      </c>
      <c r="K306" s="15" t="n">
        <f aca="false">K304*9/H304</f>
        <v>0.396976016684046</v>
      </c>
    </row>
    <row r="308" customFormat="false" ht="16.15" hidden="false" customHeight="false" outlineLevel="0" collapsed="false">
      <c r="A308" s="1" t="s">
        <v>533</v>
      </c>
    </row>
    <row r="309" customFormat="false" ht="26.85" hidden="false" customHeight="false" outlineLevel="0" collapsed="false">
      <c r="A309" s="3" t="s">
        <v>626</v>
      </c>
      <c r="B309" s="3" t="s">
        <v>627</v>
      </c>
      <c r="C309" s="3" t="s">
        <v>64</v>
      </c>
      <c r="D309" s="3" t="s">
        <v>628</v>
      </c>
      <c r="E309" s="3" t="s">
        <v>629</v>
      </c>
      <c r="F309" s="3" t="s">
        <v>630</v>
      </c>
      <c r="G309" s="3" t="s">
        <v>631</v>
      </c>
      <c r="H309" s="3" t="s">
        <v>632</v>
      </c>
      <c r="I309" s="3" t="s">
        <v>633</v>
      </c>
      <c r="J309" s="3" t="s">
        <v>634</v>
      </c>
      <c r="K309" s="3" t="s">
        <v>635</v>
      </c>
      <c r="L309" s="3" t="s">
        <v>636</v>
      </c>
    </row>
    <row r="310" customFormat="false" ht="15" hidden="false" customHeight="false" outlineLevel="0" collapsed="false">
      <c r="A310" s="5" t="s">
        <v>537</v>
      </c>
      <c r="B310" s="12" t="n">
        <v>125</v>
      </c>
      <c r="C310" s="4" t="s">
        <v>69</v>
      </c>
      <c r="D310" s="12" t="n">
        <v>355</v>
      </c>
      <c r="E310" s="12" t="n">
        <v>12</v>
      </c>
      <c r="F310" s="12" t="n">
        <v>72</v>
      </c>
      <c r="G310" s="12" t="n">
        <v>1.5</v>
      </c>
      <c r="H310" s="13" t="n">
        <f aca="false">B310*D310/100</f>
        <v>443.75</v>
      </c>
      <c r="I310" s="13" t="n">
        <f aca="false">B310*E310/100</f>
        <v>15</v>
      </c>
      <c r="J310" s="13" t="n">
        <f aca="false">B310*F310/100</f>
        <v>90</v>
      </c>
      <c r="K310" s="13" t="n">
        <f aca="false">B310*G310/100</f>
        <v>1.875</v>
      </c>
    </row>
    <row r="311" customFormat="false" ht="15" hidden="false" customHeight="false" outlineLevel="0" collapsed="false">
      <c r="A311" s="5" t="s">
        <v>174</v>
      </c>
      <c r="B311" s="12" t="n">
        <v>300</v>
      </c>
      <c r="C311" s="4" t="s">
        <v>74</v>
      </c>
      <c r="D311" s="12" t="n">
        <v>0</v>
      </c>
      <c r="E311" s="12" t="n">
        <v>0</v>
      </c>
      <c r="F311" s="12" t="n">
        <v>0</v>
      </c>
      <c r="G311" s="12" t="n">
        <v>0</v>
      </c>
      <c r="H311" s="13" t="n">
        <f aca="false">B311*D311/100</f>
        <v>0</v>
      </c>
      <c r="I311" s="13" t="n">
        <f aca="false">B311*E311/100</f>
        <v>0</v>
      </c>
      <c r="J311" s="13" t="n">
        <f aca="false">B311*F311/100</f>
        <v>0</v>
      </c>
      <c r="K311" s="13" t="n">
        <f aca="false">B311*G311/100</f>
        <v>0</v>
      </c>
    </row>
    <row r="312" customFormat="false" ht="15" hidden="false" customHeight="false" outlineLevel="0" collapsed="false">
      <c r="A312" s="5" t="s">
        <v>361</v>
      </c>
      <c r="B312" s="12" t="n">
        <v>75</v>
      </c>
      <c r="C312" s="4" t="s">
        <v>69</v>
      </c>
      <c r="D312" s="12" t="n">
        <v>20</v>
      </c>
      <c r="E312" s="12" t="n">
        <v>1</v>
      </c>
      <c r="F312" s="12" t="n">
        <v>3</v>
      </c>
      <c r="G312" s="12" t="n">
        <v>0.2</v>
      </c>
      <c r="H312" s="13" t="n">
        <f aca="false">B312*D312/100</f>
        <v>15</v>
      </c>
      <c r="I312" s="13" t="n">
        <f aca="false">B312*E312/100</f>
        <v>0.75</v>
      </c>
      <c r="J312" s="13" t="n">
        <f aca="false">B312*F312/100</f>
        <v>2.25</v>
      </c>
      <c r="K312" s="13" t="n">
        <f aca="false">B312*G312/100</f>
        <v>0.15</v>
      </c>
    </row>
    <row r="313" customFormat="false" ht="15" hidden="false" customHeight="false" outlineLevel="0" collapsed="false">
      <c r="A313" s="5" t="s">
        <v>117</v>
      </c>
      <c r="B313" s="12" t="n">
        <v>50</v>
      </c>
      <c r="C313" s="4" t="s">
        <v>69</v>
      </c>
      <c r="D313" s="12" t="n">
        <v>40</v>
      </c>
      <c r="E313" s="12" t="n">
        <v>1</v>
      </c>
      <c r="F313" s="12" t="n">
        <v>8</v>
      </c>
      <c r="G313" s="12" t="n">
        <v>0</v>
      </c>
      <c r="H313" s="13" t="n">
        <f aca="false">B313*D313/100</f>
        <v>20</v>
      </c>
      <c r="I313" s="13" t="n">
        <f aca="false">B313*E313/100</f>
        <v>0.5</v>
      </c>
      <c r="J313" s="13" t="n">
        <f aca="false">B313*F313/100</f>
        <v>4</v>
      </c>
      <c r="K313" s="13" t="n">
        <f aca="false">B313*G313/100</f>
        <v>0</v>
      </c>
    </row>
    <row r="314" customFormat="false" ht="15" hidden="false" customHeight="false" outlineLevel="0" collapsed="false">
      <c r="A314" s="5" t="s">
        <v>212</v>
      </c>
      <c r="B314" s="12" t="n">
        <v>3</v>
      </c>
      <c r="C314" s="4" t="s">
        <v>69</v>
      </c>
      <c r="D314" s="12" t="n">
        <v>330</v>
      </c>
      <c r="E314" s="12" t="n">
        <v>17</v>
      </c>
      <c r="F314" s="12" t="n">
        <v>70</v>
      </c>
      <c r="G314" s="12" t="n">
        <v>1</v>
      </c>
      <c r="H314" s="13" t="n">
        <f aca="false">B314*D314/100</f>
        <v>9.9</v>
      </c>
      <c r="I314" s="13" t="n">
        <f aca="false">B314*E314/100</f>
        <v>0.51</v>
      </c>
      <c r="J314" s="13" t="n">
        <f aca="false">B314*F314/100</f>
        <v>2.1</v>
      </c>
      <c r="K314" s="13" t="n">
        <f aca="false">B314*G314/100</f>
        <v>0.03</v>
      </c>
    </row>
    <row r="315" customFormat="false" ht="15" hidden="false" customHeight="false" outlineLevel="0" collapsed="false">
      <c r="A315" s="5" t="s">
        <v>168</v>
      </c>
      <c r="B315" s="12" t="n">
        <v>8</v>
      </c>
      <c r="C315" s="4" t="s">
        <v>74</v>
      </c>
      <c r="D315" s="12" t="n">
        <v>900</v>
      </c>
      <c r="E315" s="12" t="n">
        <v>0</v>
      </c>
      <c r="F315" s="12" t="n">
        <v>0</v>
      </c>
      <c r="G315" s="12" t="n">
        <v>100</v>
      </c>
      <c r="H315" s="13" t="n">
        <f aca="false">B315*D315/100</f>
        <v>72</v>
      </c>
      <c r="I315" s="13" t="n">
        <f aca="false">B315*E315/100</f>
        <v>0</v>
      </c>
      <c r="J315" s="13" t="n">
        <f aca="false">B315*F315/100</f>
        <v>0</v>
      </c>
      <c r="K315" s="13" t="n">
        <f aca="false">B315*G315/100</f>
        <v>8</v>
      </c>
    </row>
    <row r="316" customFormat="false" ht="15" hidden="false" customHeight="false" outlineLevel="0" collapsed="false">
      <c r="A316" s="5" t="s">
        <v>541</v>
      </c>
      <c r="B316" s="12" t="n">
        <v>75</v>
      </c>
      <c r="C316" s="4" t="s">
        <v>69</v>
      </c>
      <c r="D316" s="12" t="n">
        <v>450</v>
      </c>
      <c r="E316" s="12" t="n">
        <v>22</v>
      </c>
      <c r="F316" s="12" t="n">
        <v>2</v>
      </c>
      <c r="G316" s="12" t="n">
        <v>40</v>
      </c>
      <c r="H316" s="13" t="n">
        <f aca="false">B316*D316/100</f>
        <v>337.5</v>
      </c>
      <c r="I316" s="13" t="n">
        <f aca="false">B316*E316/100</f>
        <v>16.5</v>
      </c>
      <c r="J316" s="13" t="n">
        <f aca="false">B316*F316/100</f>
        <v>1.5</v>
      </c>
      <c r="K316" s="13" t="n">
        <f aca="false">B316*G316/100</f>
        <v>30</v>
      </c>
    </row>
    <row r="317" customFormat="false" ht="15" hidden="false" customHeight="false" outlineLevel="0" collapsed="false">
      <c r="A317" s="5" t="s">
        <v>366</v>
      </c>
      <c r="B317" s="12" t="n">
        <v>3</v>
      </c>
      <c r="C317" s="4" t="s">
        <v>69</v>
      </c>
      <c r="D317" s="12" t="n">
        <v>230</v>
      </c>
      <c r="E317" s="12" t="n">
        <v>23</v>
      </c>
      <c r="F317" s="12" t="n">
        <v>45</v>
      </c>
      <c r="G317" s="12" t="n">
        <v>4</v>
      </c>
      <c r="H317" s="13" t="n">
        <f aca="false">B317*D317/100</f>
        <v>6.9</v>
      </c>
      <c r="I317" s="13" t="n">
        <f aca="false">B317*E317/100</f>
        <v>0.69</v>
      </c>
      <c r="J317" s="13" t="n">
        <f aca="false">B317*F317/100</f>
        <v>1.35</v>
      </c>
      <c r="K317" s="13" t="n">
        <f aca="false">B317*G317/100</f>
        <v>0.12</v>
      </c>
    </row>
    <row r="318" customFormat="false" ht="15" hidden="false" customHeight="false" outlineLevel="0" collapsed="false">
      <c r="A318" s="5" t="s">
        <v>544</v>
      </c>
      <c r="B318" s="12" t="n">
        <v>10</v>
      </c>
      <c r="C318" s="4" t="s">
        <v>69</v>
      </c>
      <c r="D318" s="12" t="n">
        <v>390</v>
      </c>
      <c r="E318" s="12" t="n">
        <v>33</v>
      </c>
      <c r="F318" s="12" t="n">
        <v>0</v>
      </c>
      <c r="G318" s="12" t="n">
        <v>28</v>
      </c>
      <c r="H318" s="13" t="n">
        <f aca="false">B318*D318/100</f>
        <v>39</v>
      </c>
      <c r="I318" s="13" t="n">
        <f aca="false">B318*E318/100</f>
        <v>3.3</v>
      </c>
      <c r="J318" s="13" t="n">
        <f aca="false">B318*F318/100</f>
        <v>0</v>
      </c>
      <c r="K318" s="13" t="n">
        <f aca="false">B318*G318/100</f>
        <v>2.8</v>
      </c>
    </row>
    <row r="319" customFormat="false" ht="15" hidden="false" customHeight="false" outlineLevel="0" collapsed="false">
      <c r="A319" s="5" t="s">
        <v>95</v>
      </c>
      <c r="B319" s="12" t="n">
        <v>1</v>
      </c>
      <c r="C319" s="4" t="s">
        <v>69</v>
      </c>
      <c r="D319" s="12" t="n">
        <v>0</v>
      </c>
      <c r="E319" s="12" t="n">
        <v>0</v>
      </c>
      <c r="F319" s="12" t="n">
        <v>0</v>
      </c>
      <c r="G319" s="12" t="n">
        <v>0</v>
      </c>
      <c r="H319" s="13" t="n">
        <f aca="false">B319*D319/100</f>
        <v>0</v>
      </c>
      <c r="I319" s="13" t="n">
        <f aca="false">B319*E319/100</f>
        <v>0</v>
      </c>
      <c r="J319" s="13" t="n">
        <f aca="false">B319*F319/100</f>
        <v>0</v>
      </c>
      <c r="K319" s="13" t="n">
        <f aca="false">B319*G319/100</f>
        <v>0</v>
      </c>
    </row>
    <row r="320" customFormat="false" ht="15" hidden="false" customHeight="false" outlineLevel="0" collapsed="false">
      <c r="A320" s="5" t="s">
        <v>98</v>
      </c>
      <c r="B320" s="12" t="n">
        <v>0.5</v>
      </c>
      <c r="C320" s="4" t="s">
        <v>69</v>
      </c>
      <c r="D320" s="12" t="n">
        <v>0</v>
      </c>
      <c r="E320" s="12" t="n">
        <v>0</v>
      </c>
      <c r="F320" s="12" t="n">
        <v>0</v>
      </c>
      <c r="G320" s="12" t="n">
        <v>0</v>
      </c>
      <c r="H320" s="13" t="n">
        <f aca="false">B320*D320/100</f>
        <v>0</v>
      </c>
      <c r="I320" s="13" t="n">
        <f aca="false">B320*E320/100</f>
        <v>0</v>
      </c>
      <c r="J320" s="13" t="n">
        <f aca="false">B320*F320/100</f>
        <v>0</v>
      </c>
      <c r="K320" s="13" t="n">
        <f aca="false">B320*G320/100</f>
        <v>0</v>
      </c>
    </row>
    <row r="321" customFormat="false" ht="15" hidden="false" customHeight="false" outlineLevel="0" collapsed="false">
      <c r="A321" s="9" t="s">
        <v>637</v>
      </c>
      <c r="H321" s="14" t="n">
        <f aca="false">SUM(H310:H320)</f>
        <v>944.05</v>
      </c>
      <c r="I321" s="14" t="n">
        <f aca="false">SUM(I310:I320)</f>
        <v>37.25</v>
      </c>
      <c r="J321" s="14" t="n">
        <f aca="false">SUM(J310:J320)</f>
        <v>101.2</v>
      </c>
      <c r="K321" s="14" t="n">
        <f aca="false">SUM(K310:K320)</f>
        <v>42.975</v>
      </c>
      <c r="L321" s="9" t="str">
        <f aca="false">IF(H321&gt;=700,"≥ 700 kcal OK","&lt; 700 kcal")</f>
        <v>≥ 700 kcal OK</v>
      </c>
    </row>
    <row r="322" customFormat="false" ht="15" hidden="false" customHeight="false" outlineLevel="0" collapsed="false">
      <c r="A322" s="9" t="s">
        <v>638</v>
      </c>
      <c r="H322" s="7" t="n">
        <f aca="false">H321*2</f>
        <v>1888.1</v>
      </c>
      <c r="I322" s="7" t="n">
        <f aca="false">I321*2</f>
        <v>74.5</v>
      </c>
      <c r="J322" s="7" t="n">
        <f aca="false">J321*2</f>
        <v>202.4</v>
      </c>
      <c r="K322" s="7" t="n">
        <f aca="false">K321*2</f>
        <v>85.95</v>
      </c>
    </row>
    <row r="323" customFormat="false" ht="15" hidden="false" customHeight="false" outlineLevel="0" collapsed="false">
      <c r="A323" s="4" t="s">
        <v>639</v>
      </c>
      <c r="I323" s="15" t="n">
        <f aca="false">I321*4/H321</f>
        <v>0.157830623377999</v>
      </c>
      <c r="J323" s="15" t="n">
        <f aca="false">J321*4/H321</f>
        <v>0.428790847942376</v>
      </c>
      <c r="K323" s="15" t="n">
        <f aca="false">K321*9/H321</f>
        <v>0.409697579577353</v>
      </c>
    </row>
    <row r="325" customFormat="false" ht="16.15" hidden="false" customHeight="false" outlineLevel="0" collapsed="false">
      <c r="A325" s="1" t="s">
        <v>550</v>
      </c>
    </row>
    <row r="326" customFormat="false" ht="26.85" hidden="false" customHeight="false" outlineLevel="0" collapsed="false">
      <c r="A326" s="3" t="s">
        <v>626</v>
      </c>
      <c r="B326" s="3" t="s">
        <v>627</v>
      </c>
      <c r="C326" s="3" t="s">
        <v>64</v>
      </c>
      <c r="D326" s="3" t="s">
        <v>628</v>
      </c>
      <c r="E326" s="3" t="s">
        <v>629</v>
      </c>
      <c r="F326" s="3" t="s">
        <v>630</v>
      </c>
      <c r="G326" s="3" t="s">
        <v>631</v>
      </c>
      <c r="H326" s="3" t="s">
        <v>632</v>
      </c>
      <c r="I326" s="3" t="s">
        <v>633</v>
      </c>
      <c r="J326" s="3" t="s">
        <v>634</v>
      </c>
      <c r="K326" s="3" t="s">
        <v>635</v>
      </c>
      <c r="L326" s="3" t="s">
        <v>636</v>
      </c>
    </row>
    <row r="327" customFormat="false" ht="15" hidden="false" customHeight="false" outlineLevel="0" collapsed="false">
      <c r="A327" s="5" t="s">
        <v>553</v>
      </c>
      <c r="B327" s="12" t="n">
        <v>125</v>
      </c>
      <c r="C327" s="4" t="s">
        <v>69</v>
      </c>
      <c r="D327" s="12" t="n">
        <v>355</v>
      </c>
      <c r="E327" s="12" t="n">
        <v>12</v>
      </c>
      <c r="F327" s="12" t="n">
        <v>72</v>
      </c>
      <c r="G327" s="12" t="n">
        <v>1.5</v>
      </c>
      <c r="H327" s="13" t="n">
        <f aca="false">B327*D327/100</f>
        <v>443.75</v>
      </c>
      <c r="I327" s="13" t="n">
        <f aca="false">B327*E327/100</f>
        <v>15</v>
      </c>
      <c r="J327" s="13" t="n">
        <f aca="false">B327*F327/100</f>
        <v>90</v>
      </c>
      <c r="K327" s="13" t="n">
        <f aca="false">B327*G327/100</f>
        <v>1.875</v>
      </c>
    </row>
    <row r="328" customFormat="false" ht="15" hidden="false" customHeight="false" outlineLevel="0" collapsed="false">
      <c r="A328" s="5" t="s">
        <v>117</v>
      </c>
      <c r="B328" s="12" t="n">
        <v>50</v>
      </c>
      <c r="C328" s="4" t="s">
        <v>69</v>
      </c>
      <c r="D328" s="12" t="n">
        <v>40</v>
      </c>
      <c r="E328" s="12" t="n">
        <v>1</v>
      </c>
      <c r="F328" s="12" t="n">
        <v>8</v>
      </c>
      <c r="G328" s="12" t="n">
        <v>0</v>
      </c>
      <c r="H328" s="13" t="n">
        <f aca="false">B328*D328/100</f>
        <v>20</v>
      </c>
      <c r="I328" s="13" t="n">
        <f aca="false">B328*E328/100</f>
        <v>0.5</v>
      </c>
      <c r="J328" s="13" t="n">
        <f aca="false">B328*F328/100</f>
        <v>4</v>
      </c>
      <c r="K328" s="13" t="n">
        <f aca="false">B328*G328/100</f>
        <v>0</v>
      </c>
    </row>
    <row r="329" customFormat="false" ht="15" hidden="false" customHeight="false" outlineLevel="0" collapsed="false">
      <c r="A329" s="5" t="s">
        <v>212</v>
      </c>
      <c r="B329" s="12" t="n">
        <v>3</v>
      </c>
      <c r="C329" s="4" t="s">
        <v>69</v>
      </c>
      <c r="D329" s="12" t="n">
        <v>330</v>
      </c>
      <c r="E329" s="12" t="n">
        <v>17</v>
      </c>
      <c r="F329" s="12" t="n">
        <v>70</v>
      </c>
      <c r="G329" s="12" t="n">
        <v>1</v>
      </c>
      <c r="H329" s="13" t="n">
        <f aca="false">B329*D329/100</f>
        <v>9.9</v>
      </c>
      <c r="I329" s="13" t="n">
        <f aca="false">B329*E329/100</f>
        <v>0.51</v>
      </c>
      <c r="J329" s="13" t="n">
        <f aca="false">B329*F329/100</f>
        <v>2.1</v>
      </c>
      <c r="K329" s="13" t="n">
        <f aca="false">B329*G329/100</f>
        <v>0.03</v>
      </c>
    </row>
    <row r="330" customFormat="false" ht="15" hidden="false" customHeight="false" outlineLevel="0" collapsed="false">
      <c r="A330" s="5" t="s">
        <v>555</v>
      </c>
      <c r="B330" s="12" t="n">
        <v>50</v>
      </c>
      <c r="C330" s="4" t="s">
        <v>69</v>
      </c>
      <c r="D330" s="12" t="n">
        <v>70</v>
      </c>
      <c r="E330" s="12" t="n">
        <v>5</v>
      </c>
      <c r="F330" s="12" t="n">
        <v>9</v>
      </c>
      <c r="G330" s="12" t="n">
        <v>0.5</v>
      </c>
      <c r="H330" s="13" t="n">
        <f aca="false">B330*D330/100</f>
        <v>35</v>
      </c>
      <c r="I330" s="13" t="n">
        <f aca="false">B330*E330/100</f>
        <v>2.5</v>
      </c>
      <c r="J330" s="13" t="n">
        <f aca="false">B330*F330/100</f>
        <v>4.5</v>
      </c>
      <c r="K330" s="13" t="n">
        <f aca="false">B330*G330/100</f>
        <v>0.25</v>
      </c>
    </row>
    <row r="331" customFormat="false" ht="15" hidden="false" customHeight="false" outlineLevel="0" collapsed="false">
      <c r="A331" s="5" t="s">
        <v>148</v>
      </c>
      <c r="B331" s="12" t="n">
        <v>70</v>
      </c>
      <c r="C331" s="4" t="s">
        <v>69</v>
      </c>
      <c r="D331" s="12" t="n">
        <v>110</v>
      </c>
      <c r="E331" s="12" t="n">
        <v>20</v>
      </c>
      <c r="F331" s="12" t="n">
        <v>1</v>
      </c>
      <c r="G331" s="12" t="n">
        <v>3</v>
      </c>
      <c r="H331" s="13" t="n">
        <f aca="false">B331*D331/100</f>
        <v>77</v>
      </c>
      <c r="I331" s="13" t="n">
        <f aca="false">B331*E331/100</f>
        <v>14</v>
      </c>
      <c r="J331" s="13" t="n">
        <f aca="false">B331*F331/100</f>
        <v>0.7</v>
      </c>
      <c r="K331" s="13" t="n">
        <f aca="false">B331*G331/100</f>
        <v>2.1</v>
      </c>
    </row>
    <row r="332" customFormat="false" ht="15" hidden="false" customHeight="false" outlineLevel="0" collapsed="false">
      <c r="A332" s="5" t="s">
        <v>287</v>
      </c>
      <c r="B332" s="12" t="n">
        <v>5</v>
      </c>
      <c r="C332" s="4" t="s">
        <v>69</v>
      </c>
      <c r="D332" s="12" t="n">
        <v>150</v>
      </c>
      <c r="E332" s="12" t="n">
        <v>10</v>
      </c>
      <c r="F332" s="12" t="n">
        <v>15</v>
      </c>
      <c r="G332" s="12" t="n">
        <v>8</v>
      </c>
      <c r="H332" s="13" t="n">
        <f aca="false">B332*D332/100</f>
        <v>7.5</v>
      </c>
      <c r="I332" s="13" t="n">
        <f aca="false">B332*E332/100</f>
        <v>0.5</v>
      </c>
      <c r="J332" s="13" t="n">
        <f aca="false">B332*F332/100</f>
        <v>0.75</v>
      </c>
      <c r="K332" s="13" t="n">
        <f aca="false">B332*G332/100</f>
        <v>0.4</v>
      </c>
    </row>
    <row r="333" customFormat="false" ht="15" hidden="false" customHeight="false" outlineLevel="0" collapsed="false">
      <c r="A333" s="5" t="s">
        <v>174</v>
      </c>
      <c r="B333" s="12" t="n">
        <v>350</v>
      </c>
      <c r="C333" s="4" t="s">
        <v>74</v>
      </c>
      <c r="D333" s="12" t="n">
        <v>0</v>
      </c>
      <c r="E333" s="12" t="n">
        <v>0</v>
      </c>
      <c r="F333" s="12" t="n">
        <v>0</v>
      </c>
      <c r="G333" s="12" t="n">
        <v>0</v>
      </c>
      <c r="H333" s="13" t="n">
        <f aca="false">B333*D333/100</f>
        <v>0</v>
      </c>
      <c r="I333" s="13" t="n">
        <f aca="false">B333*E333/100</f>
        <v>0</v>
      </c>
      <c r="J333" s="13" t="n">
        <f aca="false">B333*F333/100</f>
        <v>0</v>
      </c>
      <c r="K333" s="13" t="n">
        <f aca="false">B333*G333/100</f>
        <v>0</v>
      </c>
    </row>
    <row r="334" customFormat="false" ht="15" hidden="false" customHeight="false" outlineLevel="0" collapsed="false">
      <c r="A334" s="5" t="s">
        <v>267</v>
      </c>
      <c r="B334" s="12" t="n">
        <v>15</v>
      </c>
      <c r="C334" s="4" t="s">
        <v>69</v>
      </c>
      <c r="D334" s="12" t="n">
        <v>390</v>
      </c>
      <c r="E334" s="12" t="n">
        <v>33</v>
      </c>
      <c r="F334" s="12" t="n">
        <v>0</v>
      </c>
      <c r="G334" s="12" t="n">
        <v>28</v>
      </c>
      <c r="H334" s="13" t="n">
        <f aca="false">B334*D334/100</f>
        <v>58.5</v>
      </c>
      <c r="I334" s="13" t="n">
        <f aca="false">B334*E334/100</f>
        <v>4.95</v>
      </c>
      <c r="J334" s="13" t="n">
        <f aca="false">B334*F334/100</f>
        <v>0</v>
      </c>
      <c r="K334" s="13" t="n">
        <f aca="false">B334*G334/100</f>
        <v>4.2</v>
      </c>
    </row>
    <row r="335" customFormat="false" ht="15" hidden="false" customHeight="false" outlineLevel="0" collapsed="false">
      <c r="A335" s="5" t="s">
        <v>559</v>
      </c>
      <c r="B335" s="12" t="n">
        <v>25</v>
      </c>
      <c r="C335" s="4" t="s">
        <v>69</v>
      </c>
      <c r="D335" s="12" t="n">
        <v>165</v>
      </c>
      <c r="E335" s="12" t="n">
        <v>2.5</v>
      </c>
      <c r="F335" s="12" t="n">
        <v>4</v>
      </c>
      <c r="G335" s="12" t="n">
        <v>15</v>
      </c>
      <c r="H335" s="13" t="n">
        <f aca="false">B335*D335/100</f>
        <v>41.25</v>
      </c>
      <c r="I335" s="13" t="n">
        <f aca="false">B335*E335/100</f>
        <v>0.625</v>
      </c>
      <c r="J335" s="13" t="n">
        <f aca="false">B335*F335/100</f>
        <v>1</v>
      </c>
      <c r="K335" s="13" t="n">
        <f aca="false">B335*G335/100</f>
        <v>3.75</v>
      </c>
    </row>
    <row r="336" customFormat="false" ht="15" hidden="false" customHeight="false" outlineLevel="0" collapsed="false">
      <c r="A336" s="5" t="s">
        <v>88</v>
      </c>
      <c r="B336" s="12" t="n">
        <v>5</v>
      </c>
      <c r="C336" s="4" t="s">
        <v>74</v>
      </c>
      <c r="D336" s="12" t="n">
        <v>900</v>
      </c>
      <c r="E336" s="12" t="n">
        <v>0</v>
      </c>
      <c r="F336" s="12" t="n">
        <v>0</v>
      </c>
      <c r="G336" s="12" t="n">
        <v>100</v>
      </c>
      <c r="H336" s="13" t="n">
        <f aca="false">B336*D336/100</f>
        <v>45</v>
      </c>
      <c r="I336" s="13" t="n">
        <f aca="false">B336*E336/100</f>
        <v>0</v>
      </c>
      <c r="J336" s="13" t="n">
        <f aca="false">B336*F336/100</f>
        <v>0</v>
      </c>
      <c r="K336" s="13" t="n">
        <f aca="false">B336*G336/100</f>
        <v>5</v>
      </c>
    </row>
    <row r="337" customFormat="false" ht="15" hidden="false" customHeight="false" outlineLevel="0" collapsed="false">
      <c r="A337" s="5" t="s">
        <v>98</v>
      </c>
      <c r="B337" s="12" t="n">
        <v>0.5</v>
      </c>
      <c r="C337" s="4" t="s">
        <v>69</v>
      </c>
      <c r="D337" s="12" t="n">
        <v>0</v>
      </c>
      <c r="E337" s="12" t="n">
        <v>0</v>
      </c>
      <c r="F337" s="12" t="n">
        <v>0</v>
      </c>
      <c r="G337" s="12" t="n">
        <v>0</v>
      </c>
      <c r="H337" s="13" t="n">
        <f aca="false">B337*D337/100</f>
        <v>0</v>
      </c>
      <c r="I337" s="13" t="n">
        <f aca="false">B337*E337/100</f>
        <v>0</v>
      </c>
      <c r="J337" s="13" t="n">
        <f aca="false">B337*F337/100</f>
        <v>0</v>
      </c>
      <c r="K337" s="13" t="n">
        <f aca="false">B337*G337/100</f>
        <v>0</v>
      </c>
    </row>
    <row r="338" customFormat="false" ht="15" hidden="false" customHeight="false" outlineLevel="0" collapsed="false">
      <c r="A338" s="5" t="s">
        <v>95</v>
      </c>
      <c r="B338" s="12" t="n">
        <v>0</v>
      </c>
      <c r="C338" s="4" t="s">
        <v>69</v>
      </c>
      <c r="D338" s="12" t="n">
        <v>0</v>
      </c>
      <c r="E338" s="12" t="n">
        <v>0</v>
      </c>
      <c r="F338" s="12" t="n">
        <v>0</v>
      </c>
      <c r="G338" s="12" t="n">
        <v>0</v>
      </c>
      <c r="H338" s="13" t="n">
        <f aca="false">B338*D338/100</f>
        <v>0</v>
      </c>
      <c r="I338" s="13" t="n">
        <f aca="false">B338*E338/100</f>
        <v>0</v>
      </c>
      <c r="J338" s="13" t="n">
        <f aca="false">B338*F338/100</f>
        <v>0</v>
      </c>
      <c r="K338" s="13" t="n">
        <f aca="false">B338*G338/100</f>
        <v>0</v>
      </c>
    </row>
    <row r="339" customFormat="false" ht="15" hidden="false" customHeight="false" outlineLevel="0" collapsed="false">
      <c r="A339" s="9" t="s">
        <v>637</v>
      </c>
      <c r="H339" s="14" t="n">
        <f aca="false">SUM(H327:H338)</f>
        <v>737.9</v>
      </c>
      <c r="I339" s="14" t="n">
        <f aca="false">SUM(I327:I338)</f>
        <v>38.585</v>
      </c>
      <c r="J339" s="14" t="n">
        <f aca="false">SUM(J327:J338)</f>
        <v>103.05</v>
      </c>
      <c r="K339" s="14" t="n">
        <f aca="false">SUM(K327:K338)</f>
        <v>17.605</v>
      </c>
      <c r="L339" s="9" t="str">
        <f aca="false">IF(H339&gt;=700,"≥ 700 kcal OK","&lt; 700 kcal")</f>
        <v>≥ 700 kcal OK</v>
      </c>
    </row>
    <row r="340" customFormat="false" ht="15" hidden="false" customHeight="false" outlineLevel="0" collapsed="false">
      <c r="A340" s="9" t="s">
        <v>638</v>
      </c>
      <c r="H340" s="7" t="n">
        <f aca="false">H339*2</f>
        <v>1475.8</v>
      </c>
      <c r="I340" s="7" t="n">
        <f aca="false">I339*2</f>
        <v>77.17</v>
      </c>
      <c r="J340" s="7" t="n">
        <f aca="false">J339*2</f>
        <v>206.1</v>
      </c>
      <c r="K340" s="7" t="n">
        <f aca="false">K339*2</f>
        <v>35.21</v>
      </c>
    </row>
    <row r="341" customFormat="false" ht="15" hidden="false" customHeight="false" outlineLevel="0" collapsed="false">
      <c r="A341" s="4" t="s">
        <v>639</v>
      </c>
      <c r="I341" s="15" t="n">
        <f aca="false">I339*4/H339</f>
        <v>0.209161132944843</v>
      </c>
      <c r="J341" s="15" t="n">
        <f aca="false">J339*4/H339</f>
        <v>0.558612278086462</v>
      </c>
      <c r="K341" s="15" t="n">
        <f aca="false">K339*9/H339</f>
        <v>0.214724217373628</v>
      </c>
    </row>
    <row r="343" customFormat="false" ht="16.15" hidden="false" customHeight="false" outlineLevel="0" collapsed="false">
      <c r="A343" s="1" t="s">
        <v>568</v>
      </c>
    </row>
    <row r="344" customFormat="false" ht="26.85" hidden="false" customHeight="false" outlineLevel="0" collapsed="false">
      <c r="A344" s="3" t="s">
        <v>626</v>
      </c>
      <c r="B344" s="3" t="s">
        <v>627</v>
      </c>
      <c r="C344" s="3" t="s">
        <v>64</v>
      </c>
      <c r="D344" s="3" t="s">
        <v>628</v>
      </c>
      <c r="E344" s="3" t="s">
        <v>629</v>
      </c>
      <c r="F344" s="3" t="s">
        <v>630</v>
      </c>
      <c r="G344" s="3" t="s">
        <v>631</v>
      </c>
      <c r="H344" s="3" t="s">
        <v>632</v>
      </c>
      <c r="I344" s="3" t="s">
        <v>633</v>
      </c>
      <c r="J344" s="3" t="s">
        <v>634</v>
      </c>
      <c r="K344" s="3" t="s">
        <v>635</v>
      </c>
      <c r="L344" s="3" t="s">
        <v>636</v>
      </c>
    </row>
    <row r="345" customFormat="false" ht="15" hidden="false" customHeight="false" outlineLevel="0" collapsed="false">
      <c r="A345" s="5" t="s">
        <v>196</v>
      </c>
      <c r="B345" s="12" t="n">
        <v>110</v>
      </c>
      <c r="C345" s="4" t="s">
        <v>69</v>
      </c>
      <c r="D345" s="12" t="n">
        <v>145</v>
      </c>
      <c r="E345" s="12" t="n">
        <v>12.5</v>
      </c>
      <c r="F345" s="12" t="n">
        <v>1</v>
      </c>
      <c r="G345" s="12" t="n">
        <v>10</v>
      </c>
      <c r="H345" s="13" t="n">
        <f aca="false">B345*D345/100</f>
        <v>159.5</v>
      </c>
      <c r="I345" s="13" t="n">
        <f aca="false">B345*E345/100</f>
        <v>13.75</v>
      </c>
      <c r="J345" s="13" t="n">
        <f aca="false">B345*F345/100</f>
        <v>1.1</v>
      </c>
      <c r="K345" s="13" t="n">
        <f aca="false">B345*G345/100</f>
        <v>11</v>
      </c>
    </row>
    <row r="346" customFormat="false" ht="15" hidden="false" customHeight="false" outlineLevel="0" collapsed="false">
      <c r="A346" s="5" t="s">
        <v>573</v>
      </c>
      <c r="B346" s="12" t="n">
        <v>175</v>
      </c>
      <c r="C346" s="4" t="s">
        <v>69</v>
      </c>
      <c r="D346" s="12" t="n">
        <v>17</v>
      </c>
      <c r="E346" s="12" t="n">
        <v>1</v>
      </c>
      <c r="F346" s="12" t="n">
        <v>2</v>
      </c>
      <c r="G346" s="12" t="n">
        <v>0.2</v>
      </c>
      <c r="H346" s="13" t="n">
        <f aca="false">B346*D346/100</f>
        <v>29.75</v>
      </c>
      <c r="I346" s="13" t="n">
        <f aca="false">B346*E346/100</f>
        <v>1.75</v>
      </c>
      <c r="J346" s="13" t="n">
        <f aca="false">B346*F346/100</f>
        <v>3.5</v>
      </c>
      <c r="K346" s="13" t="n">
        <f aca="false">B346*G346/100</f>
        <v>0.35</v>
      </c>
    </row>
    <row r="347" customFormat="false" ht="15" hidden="false" customHeight="false" outlineLevel="0" collapsed="false">
      <c r="A347" s="5" t="s">
        <v>361</v>
      </c>
      <c r="B347" s="12" t="n">
        <v>125</v>
      </c>
      <c r="C347" s="4" t="s">
        <v>69</v>
      </c>
      <c r="D347" s="12" t="n">
        <v>20</v>
      </c>
      <c r="E347" s="12" t="n">
        <v>1</v>
      </c>
      <c r="F347" s="12" t="n">
        <v>3</v>
      </c>
      <c r="G347" s="12" t="n">
        <v>0.2</v>
      </c>
      <c r="H347" s="13" t="n">
        <f aca="false">B347*D347/100</f>
        <v>25</v>
      </c>
      <c r="I347" s="13" t="n">
        <f aca="false">B347*E347/100</f>
        <v>1.25</v>
      </c>
      <c r="J347" s="13" t="n">
        <f aca="false">B347*F347/100</f>
        <v>3.75</v>
      </c>
      <c r="K347" s="13" t="n">
        <f aca="false">B347*G347/100</f>
        <v>0.25</v>
      </c>
    </row>
    <row r="348" customFormat="false" ht="15" hidden="false" customHeight="false" outlineLevel="0" collapsed="false">
      <c r="A348" s="5" t="s">
        <v>576</v>
      </c>
      <c r="B348" s="12" t="n">
        <v>62</v>
      </c>
      <c r="C348" s="4" t="s">
        <v>69</v>
      </c>
      <c r="D348" s="12" t="n">
        <v>250</v>
      </c>
      <c r="E348" s="12" t="n">
        <v>18</v>
      </c>
      <c r="F348" s="12" t="n">
        <v>1</v>
      </c>
      <c r="G348" s="12" t="n">
        <v>19</v>
      </c>
      <c r="H348" s="13" t="n">
        <f aca="false">B348*D348/100</f>
        <v>155</v>
      </c>
      <c r="I348" s="13" t="n">
        <f aca="false">B348*E348/100</f>
        <v>11.16</v>
      </c>
      <c r="J348" s="13" t="n">
        <f aca="false">B348*F348/100</f>
        <v>0.62</v>
      </c>
      <c r="K348" s="13" t="n">
        <f aca="false">B348*G348/100</f>
        <v>11.78</v>
      </c>
    </row>
    <row r="349" customFormat="false" ht="15" hidden="false" customHeight="false" outlineLevel="0" collapsed="false">
      <c r="A349" s="5" t="s">
        <v>212</v>
      </c>
      <c r="B349" s="12" t="n">
        <v>3</v>
      </c>
      <c r="C349" s="4" t="s">
        <v>69</v>
      </c>
      <c r="D349" s="12" t="n">
        <v>330</v>
      </c>
      <c r="E349" s="12" t="n">
        <v>17</v>
      </c>
      <c r="F349" s="12" t="n">
        <v>70</v>
      </c>
      <c r="G349" s="12" t="n">
        <v>1</v>
      </c>
      <c r="H349" s="13" t="n">
        <f aca="false">B349*D349/100</f>
        <v>9.9</v>
      </c>
      <c r="I349" s="13" t="n">
        <f aca="false">B349*E349/100</f>
        <v>0.51</v>
      </c>
      <c r="J349" s="13" t="n">
        <f aca="false">B349*F349/100</f>
        <v>2.1</v>
      </c>
      <c r="K349" s="13" t="n">
        <f aca="false">B349*G349/100</f>
        <v>0.03</v>
      </c>
    </row>
    <row r="350" customFormat="false" ht="15" hidden="false" customHeight="false" outlineLevel="0" collapsed="false">
      <c r="A350" s="5" t="s">
        <v>579</v>
      </c>
      <c r="B350" s="12" t="n">
        <v>25</v>
      </c>
      <c r="C350" s="4" t="s">
        <v>69</v>
      </c>
      <c r="D350" s="12" t="n">
        <v>0</v>
      </c>
      <c r="E350" s="12" t="n">
        <v>0</v>
      </c>
      <c r="F350" s="12" t="n">
        <v>0</v>
      </c>
      <c r="G350" s="12" t="n">
        <v>0</v>
      </c>
      <c r="H350" s="13" t="n">
        <f aca="false">B350*D350/100</f>
        <v>0</v>
      </c>
      <c r="I350" s="13" t="n">
        <f aca="false">B350*E350/100</f>
        <v>0</v>
      </c>
      <c r="J350" s="13" t="n">
        <f aca="false">B350*F350/100</f>
        <v>0</v>
      </c>
      <c r="K350" s="13" t="n">
        <f aca="false">B350*G350/100</f>
        <v>0</v>
      </c>
    </row>
    <row r="351" customFormat="false" ht="15" hidden="false" customHeight="false" outlineLevel="0" collapsed="false">
      <c r="A351" s="5" t="s">
        <v>504</v>
      </c>
      <c r="B351" s="12" t="n">
        <v>0.5</v>
      </c>
      <c r="C351" s="4" t="s">
        <v>69</v>
      </c>
      <c r="D351" s="12" t="n">
        <v>270</v>
      </c>
      <c r="E351" s="12" t="n">
        <v>9</v>
      </c>
      <c r="F351" s="12" t="n">
        <v>65</v>
      </c>
      <c r="G351" s="12" t="n">
        <v>4</v>
      </c>
      <c r="H351" s="13" t="n">
        <f aca="false">B351*D351/100</f>
        <v>1.35</v>
      </c>
      <c r="I351" s="13" t="n">
        <f aca="false">B351*E351/100</f>
        <v>0.045</v>
      </c>
      <c r="J351" s="13" t="n">
        <f aca="false">B351*F351/100</f>
        <v>0.325</v>
      </c>
      <c r="K351" s="13" t="n">
        <f aca="false">B351*G351/100</f>
        <v>0.02</v>
      </c>
    </row>
    <row r="352" customFormat="false" ht="15" hidden="false" customHeight="false" outlineLevel="0" collapsed="false">
      <c r="A352" s="5" t="s">
        <v>168</v>
      </c>
      <c r="B352" s="12" t="n">
        <v>15</v>
      </c>
      <c r="C352" s="4" t="s">
        <v>74</v>
      </c>
      <c r="D352" s="12" t="n">
        <v>900</v>
      </c>
      <c r="E352" s="12" t="n">
        <v>0</v>
      </c>
      <c r="F352" s="12" t="n">
        <v>0</v>
      </c>
      <c r="G352" s="12" t="n">
        <v>100</v>
      </c>
      <c r="H352" s="13" t="n">
        <f aca="false">B352*D352/100</f>
        <v>135</v>
      </c>
      <c r="I352" s="13" t="n">
        <f aca="false">B352*E352/100</f>
        <v>0</v>
      </c>
      <c r="J352" s="13" t="n">
        <f aca="false">B352*F352/100</f>
        <v>0</v>
      </c>
      <c r="K352" s="13" t="n">
        <f aca="false">B352*G352/100</f>
        <v>15</v>
      </c>
    </row>
    <row r="353" customFormat="false" ht="15" hidden="false" customHeight="false" outlineLevel="0" collapsed="false">
      <c r="A353" s="5" t="s">
        <v>582</v>
      </c>
      <c r="B353" s="12" t="n">
        <v>80</v>
      </c>
      <c r="C353" s="4" t="s">
        <v>69</v>
      </c>
      <c r="D353" s="12" t="n">
        <v>250</v>
      </c>
      <c r="E353" s="12" t="n">
        <v>9</v>
      </c>
      <c r="F353" s="12" t="n">
        <v>42</v>
      </c>
      <c r="G353" s="12" t="n">
        <v>4</v>
      </c>
      <c r="H353" s="13" t="n">
        <f aca="false">B353*D353/100</f>
        <v>200</v>
      </c>
      <c r="I353" s="13" t="n">
        <f aca="false">B353*E353/100</f>
        <v>7.2</v>
      </c>
      <c r="J353" s="13" t="n">
        <f aca="false">B353*F353/100</f>
        <v>33.6</v>
      </c>
      <c r="K353" s="13" t="n">
        <f aca="false">B353*G353/100</f>
        <v>3.2</v>
      </c>
    </row>
    <row r="354" customFormat="false" ht="15" hidden="false" customHeight="false" outlineLevel="0" collapsed="false">
      <c r="A354" s="5" t="s">
        <v>95</v>
      </c>
      <c r="B354" s="12" t="n">
        <v>0.5</v>
      </c>
      <c r="C354" s="4" t="s">
        <v>69</v>
      </c>
      <c r="D354" s="12" t="n">
        <v>0</v>
      </c>
      <c r="E354" s="12" t="n">
        <v>0</v>
      </c>
      <c r="F354" s="12" t="n">
        <v>0</v>
      </c>
      <c r="G354" s="12" t="n">
        <v>0</v>
      </c>
      <c r="H354" s="13" t="n">
        <f aca="false">B354*D354/100</f>
        <v>0</v>
      </c>
      <c r="I354" s="13" t="n">
        <f aca="false">B354*E354/100</f>
        <v>0</v>
      </c>
      <c r="J354" s="13" t="n">
        <f aca="false">B354*F354/100</f>
        <v>0</v>
      </c>
      <c r="K354" s="13" t="n">
        <f aca="false">B354*G354/100</f>
        <v>0</v>
      </c>
    </row>
    <row r="355" customFormat="false" ht="15" hidden="false" customHeight="false" outlineLevel="0" collapsed="false">
      <c r="A355" s="5" t="s">
        <v>98</v>
      </c>
      <c r="B355" s="12" t="n">
        <v>0.5</v>
      </c>
      <c r="C355" s="4" t="s">
        <v>69</v>
      </c>
      <c r="D355" s="12" t="n">
        <v>0</v>
      </c>
      <c r="E355" s="12" t="n">
        <v>0</v>
      </c>
      <c r="F355" s="12" t="n">
        <v>0</v>
      </c>
      <c r="G355" s="12" t="n">
        <v>0</v>
      </c>
      <c r="H355" s="13" t="n">
        <f aca="false">B355*D355/100</f>
        <v>0</v>
      </c>
      <c r="I355" s="13" t="n">
        <f aca="false">B355*E355/100</f>
        <v>0</v>
      </c>
      <c r="J355" s="13" t="n">
        <f aca="false">B355*F355/100</f>
        <v>0</v>
      </c>
      <c r="K355" s="13" t="n">
        <f aca="false">B355*G355/100</f>
        <v>0</v>
      </c>
    </row>
    <row r="356" customFormat="false" ht="15" hidden="false" customHeight="false" outlineLevel="0" collapsed="false">
      <c r="A356" s="9" t="s">
        <v>637</v>
      </c>
      <c r="H356" s="14" t="n">
        <f aca="false">SUM(H345:H355)</f>
        <v>715.5</v>
      </c>
      <c r="I356" s="14" t="n">
        <f aca="false">SUM(I345:I355)</f>
        <v>35.665</v>
      </c>
      <c r="J356" s="14" t="n">
        <f aca="false">SUM(J345:J355)</f>
        <v>44.995</v>
      </c>
      <c r="K356" s="14" t="n">
        <f aca="false">SUM(K345:K355)</f>
        <v>41.63</v>
      </c>
      <c r="L356" s="9" t="str">
        <f aca="false">IF(H356&gt;=700,"≥ 700 kcal OK","&lt; 700 kcal")</f>
        <v>≥ 700 kcal OK</v>
      </c>
    </row>
    <row r="357" customFormat="false" ht="15" hidden="false" customHeight="false" outlineLevel="0" collapsed="false">
      <c r="A357" s="9" t="s">
        <v>638</v>
      </c>
      <c r="H357" s="7" t="n">
        <f aca="false">H356*2</f>
        <v>1431</v>
      </c>
      <c r="I357" s="7" t="n">
        <f aca="false">I356*2</f>
        <v>71.33</v>
      </c>
      <c r="J357" s="7" t="n">
        <f aca="false">J356*2</f>
        <v>89.99</v>
      </c>
      <c r="K357" s="7" t="n">
        <f aca="false">K356*2</f>
        <v>83.26</v>
      </c>
    </row>
    <row r="358" customFormat="false" ht="15" hidden="false" customHeight="false" outlineLevel="0" collapsed="false">
      <c r="A358" s="4" t="s">
        <v>639</v>
      </c>
      <c r="I358" s="15" t="n">
        <f aca="false">I356*4/H356</f>
        <v>0.199385045422781</v>
      </c>
      <c r="J358" s="15" t="n">
        <f aca="false">J356*4/H356</f>
        <v>0.251544374563243</v>
      </c>
      <c r="K358" s="15" t="n">
        <f aca="false">K356*9/H356</f>
        <v>0.523647798742138</v>
      </c>
    </row>
    <row r="360" customFormat="false" ht="16.15" hidden="false" customHeight="false" outlineLevel="0" collapsed="false">
      <c r="A360" s="1" t="s">
        <v>592</v>
      </c>
    </row>
    <row r="361" customFormat="false" ht="26.85" hidden="false" customHeight="false" outlineLevel="0" collapsed="false">
      <c r="A361" s="3" t="s">
        <v>626</v>
      </c>
      <c r="B361" s="3" t="s">
        <v>627</v>
      </c>
      <c r="C361" s="3" t="s">
        <v>64</v>
      </c>
      <c r="D361" s="3" t="s">
        <v>628</v>
      </c>
      <c r="E361" s="3" t="s">
        <v>629</v>
      </c>
      <c r="F361" s="3" t="s">
        <v>630</v>
      </c>
      <c r="G361" s="3" t="s">
        <v>631</v>
      </c>
      <c r="H361" s="3" t="s">
        <v>632</v>
      </c>
      <c r="I361" s="3" t="s">
        <v>633</v>
      </c>
      <c r="J361" s="3" t="s">
        <v>634</v>
      </c>
      <c r="K361" s="3" t="s">
        <v>635</v>
      </c>
      <c r="L361" s="3" t="s">
        <v>636</v>
      </c>
    </row>
    <row r="362" customFormat="false" ht="15" hidden="false" customHeight="false" outlineLevel="0" collapsed="false">
      <c r="A362" s="5" t="s">
        <v>597</v>
      </c>
      <c r="B362" s="12" t="n">
        <v>125</v>
      </c>
      <c r="C362" s="4" t="s">
        <v>69</v>
      </c>
      <c r="D362" s="12" t="n">
        <v>355</v>
      </c>
      <c r="E362" s="12" t="n">
        <v>12</v>
      </c>
      <c r="F362" s="12" t="n">
        <v>72</v>
      </c>
      <c r="G362" s="12" t="n">
        <v>1.5</v>
      </c>
      <c r="H362" s="13" t="n">
        <f aca="false">B362*D362/100</f>
        <v>443.75</v>
      </c>
      <c r="I362" s="13" t="n">
        <f aca="false">B362*E362/100</f>
        <v>15</v>
      </c>
      <c r="J362" s="13" t="n">
        <f aca="false">B362*F362/100</f>
        <v>90</v>
      </c>
      <c r="K362" s="13" t="n">
        <f aca="false">B362*G362/100</f>
        <v>1.875</v>
      </c>
    </row>
    <row r="363" customFormat="false" ht="15" hidden="false" customHeight="false" outlineLevel="0" collapsed="false">
      <c r="A363" s="5" t="s">
        <v>598</v>
      </c>
      <c r="B363" s="12" t="n">
        <v>50</v>
      </c>
      <c r="C363" s="4" t="s">
        <v>69</v>
      </c>
      <c r="D363" s="12" t="n">
        <v>420</v>
      </c>
      <c r="E363" s="12" t="n">
        <v>5</v>
      </c>
      <c r="F363" s="12" t="n">
        <v>8</v>
      </c>
      <c r="G363" s="12" t="n">
        <v>40</v>
      </c>
      <c r="H363" s="13" t="n">
        <f aca="false">B363*D363/100</f>
        <v>210</v>
      </c>
      <c r="I363" s="13" t="n">
        <f aca="false">B363*E363/100</f>
        <v>2.5</v>
      </c>
      <c r="J363" s="13" t="n">
        <f aca="false">B363*F363/100</f>
        <v>4</v>
      </c>
      <c r="K363" s="13" t="n">
        <f aca="false">B363*G363/100</f>
        <v>20</v>
      </c>
    </row>
    <row r="364" customFormat="false" ht="15" hidden="false" customHeight="false" outlineLevel="0" collapsed="false">
      <c r="A364" s="5" t="s">
        <v>361</v>
      </c>
      <c r="B364" s="12" t="n">
        <v>125</v>
      </c>
      <c r="C364" s="4" t="s">
        <v>69</v>
      </c>
      <c r="D364" s="12" t="n">
        <v>20</v>
      </c>
      <c r="E364" s="12" t="n">
        <v>1</v>
      </c>
      <c r="F364" s="12" t="n">
        <v>3</v>
      </c>
      <c r="G364" s="12" t="n">
        <v>0.2</v>
      </c>
      <c r="H364" s="13" t="n">
        <f aca="false">B364*D364/100</f>
        <v>25</v>
      </c>
      <c r="I364" s="13" t="n">
        <f aca="false">B364*E364/100</f>
        <v>1.25</v>
      </c>
      <c r="J364" s="13" t="n">
        <f aca="false">B364*F364/100</f>
        <v>3.75</v>
      </c>
      <c r="K364" s="13" t="n">
        <f aca="false">B364*G364/100</f>
        <v>0.25</v>
      </c>
    </row>
    <row r="365" customFormat="false" ht="15" hidden="false" customHeight="false" outlineLevel="0" collapsed="false">
      <c r="A365" s="5" t="s">
        <v>576</v>
      </c>
      <c r="B365" s="12" t="n">
        <v>125</v>
      </c>
      <c r="C365" s="4" t="s">
        <v>69</v>
      </c>
      <c r="D365" s="12" t="n">
        <v>250</v>
      </c>
      <c r="E365" s="12" t="n">
        <v>18</v>
      </c>
      <c r="F365" s="12" t="n">
        <v>1</v>
      </c>
      <c r="G365" s="12" t="n">
        <v>19</v>
      </c>
      <c r="H365" s="13" t="n">
        <f aca="false">B365*D365/100</f>
        <v>312.5</v>
      </c>
      <c r="I365" s="13" t="n">
        <f aca="false">B365*E365/100</f>
        <v>22.5</v>
      </c>
      <c r="J365" s="13" t="n">
        <f aca="false">B365*F365/100</f>
        <v>1.25</v>
      </c>
      <c r="K365" s="13" t="n">
        <f aca="false">B365*G365/100</f>
        <v>23.75</v>
      </c>
    </row>
    <row r="366" customFormat="false" ht="15" hidden="false" customHeight="false" outlineLevel="0" collapsed="false">
      <c r="A366" s="5" t="s">
        <v>267</v>
      </c>
      <c r="B366" s="12" t="n">
        <v>15</v>
      </c>
      <c r="C366" s="4" t="s">
        <v>69</v>
      </c>
      <c r="D366" s="12" t="n">
        <v>390</v>
      </c>
      <c r="E366" s="12" t="n">
        <v>33</v>
      </c>
      <c r="F366" s="12" t="n">
        <v>0</v>
      </c>
      <c r="G366" s="12" t="n">
        <v>28</v>
      </c>
      <c r="H366" s="13" t="n">
        <f aca="false">B366*D366/100</f>
        <v>58.5</v>
      </c>
      <c r="I366" s="13" t="n">
        <f aca="false">B366*E366/100</f>
        <v>4.95</v>
      </c>
      <c r="J366" s="13" t="n">
        <f aca="false">B366*F366/100</f>
        <v>0</v>
      </c>
      <c r="K366" s="13" t="n">
        <f aca="false">B366*G366/100</f>
        <v>4.2</v>
      </c>
    </row>
    <row r="367" customFormat="false" ht="15" hidden="false" customHeight="false" outlineLevel="0" collapsed="false">
      <c r="A367" s="5" t="s">
        <v>95</v>
      </c>
      <c r="B367" s="12" t="n">
        <v>1</v>
      </c>
      <c r="C367" s="4" t="s">
        <v>69</v>
      </c>
      <c r="D367" s="12" t="n">
        <v>0</v>
      </c>
      <c r="E367" s="12" t="n">
        <v>0</v>
      </c>
      <c r="F367" s="12" t="n">
        <v>0</v>
      </c>
      <c r="G367" s="12" t="n">
        <v>0</v>
      </c>
      <c r="H367" s="13" t="n">
        <f aca="false">B367*D367/100</f>
        <v>0</v>
      </c>
      <c r="I367" s="13" t="n">
        <f aca="false">B367*E367/100</f>
        <v>0</v>
      </c>
      <c r="J367" s="13" t="n">
        <f aca="false">B367*F367/100</f>
        <v>0</v>
      </c>
      <c r="K367" s="13" t="n">
        <f aca="false">B367*G367/100</f>
        <v>0</v>
      </c>
    </row>
    <row r="368" customFormat="false" ht="15" hidden="false" customHeight="false" outlineLevel="0" collapsed="false">
      <c r="A368" s="5" t="s">
        <v>98</v>
      </c>
      <c r="B368" s="12" t="n">
        <v>0.5</v>
      </c>
      <c r="C368" s="4" t="s">
        <v>69</v>
      </c>
      <c r="D368" s="12" t="n">
        <v>0</v>
      </c>
      <c r="E368" s="12" t="n">
        <v>0</v>
      </c>
      <c r="F368" s="12" t="n">
        <v>0</v>
      </c>
      <c r="G368" s="12" t="n">
        <v>0</v>
      </c>
      <c r="H368" s="13" t="n">
        <f aca="false">B368*D368/100</f>
        <v>0</v>
      </c>
      <c r="I368" s="13" t="n">
        <f aca="false">B368*E368/100</f>
        <v>0</v>
      </c>
      <c r="J368" s="13" t="n">
        <f aca="false">B368*F368/100</f>
        <v>0</v>
      </c>
      <c r="K368" s="13" t="n">
        <f aca="false">B368*G368/100</f>
        <v>0</v>
      </c>
    </row>
    <row r="369" customFormat="false" ht="15" hidden="false" customHeight="false" outlineLevel="0" collapsed="false">
      <c r="A369" s="9" t="s">
        <v>637</v>
      </c>
      <c r="H369" s="14" t="n">
        <f aca="false">SUM(H362:H368)</f>
        <v>1049.75</v>
      </c>
      <c r="I369" s="14" t="n">
        <f aca="false">SUM(I362:I368)</f>
        <v>46.2</v>
      </c>
      <c r="J369" s="14" t="n">
        <f aca="false">SUM(J362:J368)</f>
        <v>99</v>
      </c>
      <c r="K369" s="14" t="n">
        <f aca="false">SUM(K362:K368)</f>
        <v>50.075</v>
      </c>
      <c r="L369" s="9" t="str">
        <f aca="false">IF(H369&gt;=700,"≥ 700 kcal OK","&lt; 700 kcal")</f>
        <v>≥ 700 kcal OK</v>
      </c>
    </row>
    <row r="370" customFormat="false" ht="15" hidden="false" customHeight="false" outlineLevel="0" collapsed="false">
      <c r="A370" s="9" t="s">
        <v>638</v>
      </c>
      <c r="H370" s="7" t="n">
        <f aca="false">H369*2</f>
        <v>2099.5</v>
      </c>
      <c r="I370" s="7" t="n">
        <f aca="false">I369*2</f>
        <v>92.4</v>
      </c>
      <c r="J370" s="7" t="n">
        <f aca="false">J369*2</f>
        <v>198</v>
      </c>
      <c r="K370" s="7" t="n">
        <f aca="false">K369*2</f>
        <v>100.15</v>
      </c>
    </row>
    <row r="371" customFormat="false" ht="15" hidden="false" customHeight="false" outlineLevel="0" collapsed="false">
      <c r="A371" s="4" t="s">
        <v>639</v>
      </c>
      <c r="I371" s="15" t="n">
        <f aca="false">I369*4/H369</f>
        <v>0.176041914741605</v>
      </c>
      <c r="J371" s="15" t="n">
        <f aca="false">J369*4/H369</f>
        <v>0.377232674446297</v>
      </c>
      <c r="K371" s="15" t="n">
        <f aca="false">K369*9/H369</f>
        <v>0.429316503929507</v>
      </c>
    </row>
    <row r="373" customFormat="false" ht="16.15" hidden="false" customHeight="false" outlineLevel="0" collapsed="false">
      <c r="A373" s="1" t="s">
        <v>609</v>
      </c>
    </row>
    <row r="374" customFormat="false" ht="26.85" hidden="false" customHeight="false" outlineLevel="0" collapsed="false">
      <c r="A374" s="3" t="s">
        <v>626</v>
      </c>
      <c r="B374" s="3" t="s">
        <v>627</v>
      </c>
      <c r="C374" s="3" t="s">
        <v>64</v>
      </c>
      <c r="D374" s="3" t="s">
        <v>628</v>
      </c>
      <c r="E374" s="3" t="s">
        <v>629</v>
      </c>
      <c r="F374" s="3" t="s">
        <v>630</v>
      </c>
      <c r="G374" s="3" t="s">
        <v>631</v>
      </c>
      <c r="H374" s="3" t="s">
        <v>632</v>
      </c>
      <c r="I374" s="3" t="s">
        <v>633</v>
      </c>
      <c r="J374" s="3" t="s">
        <v>634</v>
      </c>
      <c r="K374" s="3" t="s">
        <v>635</v>
      </c>
      <c r="L374" s="3" t="s">
        <v>636</v>
      </c>
    </row>
    <row r="375" customFormat="false" ht="15" hidden="false" customHeight="false" outlineLevel="0" collapsed="false">
      <c r="A375" s="5" t="s">
        <v>597</v>
      </c>
      <c r="B375" s="12" t="n">
        <v>125</v>
      </c>
      <c r="C375" s="4" t="s">
        <v>69</v>
      </c>
      <c r="D375" s="12" t="n">
        <v>355</v>
      </c>
      <c r="E375" s="12" t="n">
        <v>12</v>
      </c>
      <c r="F375" s="12" t="n">
        <v>72</v>
      </c>
      <c r="G375" s="12" t="n">
        <v>1.5</v>
      </c>
      <c r="H375" s="13" t="n">
        <f aca="false">B375*D375/100</f>
        <v>443.75</v>
      </c>
      <c r="I375" s="13" t="n">
        <f aca="false">B375*E375/100</f>
        <v>15</v>
      </c>
      <c r="J375" s="13" t="n">
        <f aca="false">B375*F375/100</f>
        <v>90</v>
      </c>
      <c r="K375" s="13" t="n">
        <f aca="false">B375*G375/100</f>
        <v>1.875</v>
      </c>
    </row>
    <row r="376" customFormat="false" ht="15" hidden="false" customHeight="false" outlineLevel="0" collapsed="false">
      <c r="A376" s="5" t="s">
        <v>614</v>
      </c>
      <c r="B376" s="12" t="n">
        <v>210</v>
      </c>
      <c r="C376" s="4" t="s">
        <v>74</v>
      </c>
      <c r="D376" s="12" t="n">
        <v>50</v>
      </c>
      <c r="E376" s="12" t="n">
        <v>1.5</v>
      </c>
      <c r="F376" s="12" t="n">
        <v>7</v>
      </c>
      <c r="G376" s="12" t="n">
        <v>1.5</v>
      </c>
      <c r="H376" s="13" t="n">
        <f aca="false">B376*D376/100</f>
        <v>105</v>
      </c>
      <c r="I376" s="13" t="n">
        <f aca="false">B376*E376/100</f>
        <v>3.15</v>
      </c>
      <c r="J376" s="13" t="n">
        <f aca="false">B376*F376/100</f>
        <v>14.7</v>
      </c>
      <c r="K376" s="13" t="n">
        <f aca="false">B376*G376/100</f>
        <v>3.15</v>
      </c>
    </row>
    <row r="377" customFormat="false" ht="15" hidden="false" customHeight="false" outlineLevel="0" collapsed="false">
      <c r="A377" s="5" t="s">
        <v>576</v>
      </c>
      <c r="B377" s="12" t="n">
        <v>62</v>
      </c>
      <c r="C377" s="4" t="s">
        <v>69</v>
      </c>
      <c r="D377" s="12" t="n">
        <v>250</v>
      </c>
      <c r="E377" s="12" t="n">
        <v>18</v>
      </c>
      <c r="F377" s="12" t="n">
        <v>1</v>
      </c>
      <c r="G377" s="12" t="n">
        <v>19</v>
      </c>
      <c r="H377" s="13" t="n">
        <f aca="false">B377*D377/100</f>
        <v>155</v>
      </c>
      <c r="I377" s="13" t="n">
        <f aca="false">B377*E377/100</f>
        <v>11.16</v>
      </c>
      <c r="J377" s="13" t="n">
        <f aca="false">B377*F377/100</f>
        <v>0.62</v>
      </c>
      <c r="K377" s="13" t="n">
        <f aca="false">B377*G377/100</f>
        <v>11.78</v>
      </c>
    </row>
    <row r="378" customFormat="false" ht="15" hidden="false" customHeight="false" outlineLevel="0" collapsed="false">
      <c r="A378" s="5" t="s">
        <v>267</v>
      </c>
      <c r="B378" s="12" t="n">
        <v>15</v>
      </c>
      <c r="C378" s="4" t="s">
        <v>69</v>
      </c>
      <c r="D378" s="12" t="n">
        <v>390</v>
      </c>
      <c r="E378" s="12" t="n">
        <v>33</v>
      </c>
      <c r="F378" s="12" t="n">
        <v>0</v>
      </c>
      <c r="G378" s="12" t="n">
        <v>28</v>
      </c>
      <c r="H378" s="13" t="n">
        <f aca="false">B378*D378/100</f>
        <v>58.5</v>
      </c>
      <c r="I378" s="13" t="n">
        <f aca="false">B378*E378/100</f>
        <v>4.95</v>
      </c>
      <c r="J378" s="13" t="n">
        <f aca="false">B378*F378/100</f>
        <v>0</v>
      </c>
      <c r="K378" s="13" t="n">
        <f aca="false">B378*G378/100</f>
        <v>4.2</v>
      </c>
    </row>
    <row r="379" customFormat="false" ht="15" hidden="false" customHeight="false" outlineLevel="0" collapsed="false">
      <c r="A379" s="5" t="s">
        <v>88</v>
      </c>
      <c r="B379" s="12" t="n">
        <v>5</v>
      </c>
      <c r="C379" s="4" t="s">
        <v>74</v>
      </c>
      <c r="D379" s="12" t="n">
        <v>900</v>
      </c>
      <c r="E379" s="12" t="n">
        <v>0</v>
      </c>
      <c r="F379" s="12" t="n">
        <v>0</v>
      </c>
      <c r="G379" s="12" t="n">
        <v>100</v>
      </c>
      <c r="H379" s="13" t="n">
        <f aca="false">B379*D379/100</f>
        <v>45</v>
      </c>
      <c r="I379" s="13" t="n">
        <f aca="false">B379*E379/100</f>
        <v>0</v>
      </c>
      <c r="J379" s="13" t="n">
        <f aca="false">B379*F379/100</f>
        <v>0</v>
      </c>
      <c r="K379" s="13" t="n">
        <f aca="false">B379*G379/100</f>
        <v>5</v>
      </c>
    </row>
    <row r="380" customFormat="false" ht="15" hidden="false" customHeight="false" outlineLevel="0" collapsed="false">
      <c r="A380" s="5" t="s">
        <v>95</v>
      </c>
      <c r="B380" s="12" t="n">
        <v>1</v>
      </c>
      <c r="C380" s="4" t="s">
        <v>69</v>
      </c>
      <c r="D380" s="12" t="n">
        <v>0</v>
      </c>
      <c r="E380" s="12" t="n">
        <v>0</v>
      </c>
      <c r="F380" s="12" t="n">
        <v>0</v>
      </c>
      <c r="G380" s="12" t="n">
        <v>0</v>
      </c>
      <c r="H380" s="13" t="n">
        <f aca="false">B380*D380/100</f>
        <v>0</v>
      </c>
      <c r="I380" s="13" t="n">
        <f aca="false">B380*E380/100</f>
        <v>0</v>
      </c>
      <c r="J380" s="13" t="n">
        <f aca="false">B380*F380/100</f>
        <v>0</v>
      </c>
      <c r="K380" s="13" t="n">
        <f aca="false">B380*G380/100</f>
        <v>0</v>
      </c>
    </row>
    <row r="381" customFormat="false" ht="15" hidden="false" customHeight="false" outlineLevel="0" collapsed="false">
      <c r="A381" s="5" t="s">
        <v>98</v>
      </c>
      <c r="B381" s="12" t="n">
        <v>0.5</v>
      </c>
      <c r="C381" s="4" t="s">
        <v>69</v>
      </c>
      <c r="D381" s="12" t="n">
        <v>0</v>
      </c>
      <c r="E381" s="12" t="n">
        <v>0</v>
      </c>
      <c r="F381" s="12" t="n">
        <v>0</v>
      </c>
      <c r="G381" s="12" t="n">
        <v>0</v>
      </c>
      <c r="H381" s="13" t="n">
        <f aca="false">B381*D381/100</f>
        <v>0</v>
      </c>
      <c r="I381" s="13" t="n">
        <f aca="false">B381*E381/100</f>
        <v>0</v>
      </c>
      <c r="J381" s="13" t="n">
        <f aca="false">B381*F381/100</f>
        <v>0</v>
      </c>
      <c r="K381" s="13" t="n">
        <f aca="false">B381*G381/100</f>
        <v>0</v>
      </c>
    </row>
    <row r="382" customFormat="false" ht="15" hidden="false" customHeight="false" outlineLevel="0" collapsed="false">
      <c r="A382" s="9" t="s">
        <v>637</v>
      </c>
      <c r="H382" s="14" t="n">
        <f aca="false">SUM(H375:H381)</f>
        <v>807.25</v>
      </c>
      <c r="I382" s="14" t="n">
        <f aca="false">SUM(I375:I381)</f>
        <v>34.26</v>
      </c>
      <c r="J382" s="14" t="n">
        <f aca="false">SUM(J375:J381)</f>
        <v>105.32</v>
      </c>
      <c r="K382" s="14" t="n">
        <f aca="false">SUM(K375:K381)</f>
        <v>26.005</v>
      </c>
      <c r="L382" s="9" t="str">
        <f aca="false">IF(H382&gt;=700,"≥ 700 kcal OK","&lt; 700 kcal")</f>
        <v>≥ 700 kcal OK</v>
      </c>
    </row>
    <row r="383" customFormat="false" ht="15" hidden="false" customHeight="false" outlineLevel="0" collapsed="false">
      <c r="A383" s="9" t="s">
        <v>638</v>
      </c>
      <c r="H383" s="7" t="n">
        <f aca="false">H382*2</f>
        <v>1614.5</v>
      </c>
      <c r="I383" s="7" t="n">
        <f aca="false">I382*2</f>
        <v>68.52</v>
      </c>
      <c r="J383" s="7" t="n">
        <f aca="false">J382*2</f>
        <v>210.64</v>
      </c>
      <c r="K383" s="7" t="n">
        <f aca="false">K382*2</f>
        <v>52.01</v>
      </c>
    </row>
    <row r="384" customFormat="false" ht="15" hidden="false" customHeight="false" outlineLevel="0" collapsed="false">
      <c r="A384" s="4" t="s">
        <v>639</v>
      </c>
      <c r="I384" s="15" t="n">
        <f aca="false">I382*4/H382</f>
        <v>0.169761536079282</v>
      </c>
      <c r="J384" s="15" t="n">
        <f aca="false">J382*4/H382</f>
        <v>0.521870548157324</v>
      </c>
      <c r="K384" s="15" t="n">
        <f aca="false">K382*9/H382</f>
        <v>0.289928770517188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7" min="6" style="0" width="30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640</v>
      </c>
    </row>
    <row r="3" customFormat="false" ht="39.55" hidden="false" customHeight="false" outlineLevel="0" collapsed="false">
      <c r="A3" s="3" t="s">
        <v>641</v>
      </c>
      <c r="B3" s="3" t="s">
        <v>642</v>
      </c>
      <c r="C3" s="3" t="s">
        <v>626</v>
      </c>
      <c r="D3" s="3" t="s">
        <v>627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643</v>
      </c>
    </row>
    <row r="4" customFormat="false" ht="15" hidden="false" customHeight="false" outlineLevel="0" collapsed="false">
      <c r="A4" s="4" t="n">
        <v>1</v>
      </c>
      <c r="B4" s="4" t="s">
        <v>644</v>
      </c>
      <c r="C4" s="4" t="s">
        <v>68</v>
      </c>
      <c r="D4" s="4" t="n">
        <v>130</v>
      </c>
      <c r="E4" s="4" t="s">
        <v>69</v>
      </c>
      <c r="F4" s="4" t="s">
        <v>70</v>
      </c>
      <c r="G4" s="4" t="s">
        <v>71</v>
      </c>
      <c r="H4" s="4" t="s">
        <v>72</v>
      </c>
      <c r="I4" s="4"/>
    </row>
    <row r="5" customFormat="false" ht="15" hidden="false" customHeight="false" outlineLevel="0" collapsed="false">
      <c r="A5" s="4" t="n">
        <v>1</v>
      </c>
      <c r="B5" s="4" t="s">
        <v>644</v>
      </c>
      <c r="C5" s="4" t="s">
        <v>73</v>
      </c>
      <c r="D5" s="4" t="n">
        <v>100</v>
      </c>
      <c r="E5" s="4" t="s">
        <v>74</v>
      </c>
      <c r="F5" s="4" t="s">
        <v>75</v>
      </c>
      <c r="G5" s="4" t="s">
        <v>73</v>
      </c>
      <c r="H5" s="4" t="s">
        <v>72</v>
      </c>
      <c r="I5" s="4"/>
    </row>
    <row r="6" customFormat="false" ht="15" hidden="false" customHeight="false" outlineLevel="0" collapsed="false">
      <c r="A6" s="4" t="n">
        <v>1</v>
      </c>
      <c r="B6" s="4" t="s">
        <v>644</v>
      </c>
      <c r="C6" s="4" t="s">
        <v>76</v>
      </c>
      <c r="D6" s="4" t="n">
        <v>2</v>
      </c>
      <c r="E6" s="4" t="s">
        <v>69</v>
      </c>
      <c r="F6" s="4" t="s">
        <v>77</v>
      </c>
      <c r="G6" s="4" t="s">
        <v>78</v>
      </c>
      <c r="H6" s="4" t="s">
        <v>79</v>
      </c>
      <c r="I6" s="4"/>
    </row>
    <row r="7" customFormat="false" ht="15" hidden="false" customHeight="false" outlineLevel="0" collapsed="false">
      <c r="A7" s="4" t="n">
        <v>1</v>
      </c>
      <c r="B7" s="4" t="s">
        <v>644</v>
      </c>
      <c r="C7" s="4" t="s">
        <v>80</v>
      </c>
      <c r="D7" s="4" t="n">
        <v>5</v>
      </c>
      <c r="E7" s="4" t="s">
        <v>74</v>
      </c>
      <c r="F7" s="4" t="s">
        <v>81</v>
      </c>
      <c r="G7" s="4" t="s">
        <v>80</v>
      </c>
      <c r="H7" s="4" t="s">
        <v>72</v>
      </c>
      <c r="I7" s="4"/>
    </row>
    <row r="8" customFormat="false" ht="15" hidden="false" customHeight="false" outlineLevel="0" collapsed="false">
      <c r="A8" s="4" t="n">
        <v>1</v>
      </c>
      <c r="B8" s="4" t="s">
        <v>644</v>
      </c>
      <c r="C8" s="4" t="s">
        <v>82</v>
      </c>
      <c r="D8" s="4" t="n">
        <v>20</v>
      </c>
      <c r="E8" s="4" t="s">
        <v>69</v>
      </c>
      <c r="F8" s="4" t="s">
        <v>83</v>
      </c>
      <c r="G8" s="4" t="s">
        <v>84</v>
      </c>
      <c r="H8" s="4" t="s">
        <v>72</v>
      </c>
      <c r="I8" s="4"/>
    </row>
    <row r="9" customFormat="false" ht="15" hidden="false" customHeight="false" outlineLevel="0" collapsed="false">
      <c r="A9" s="4" t="n">
        <v>1</v>
      </c>
      <c r="B9" s="4" t="s">
        <v>644</v>
      </c>
      <c r="C9" s="4" t="s">
        <v>85</v>
      </c>
      <c r="D9" s="4" t="n">
        <v>5</v>
      </c>
      <c r="E9" s="4" t="s">
        <v>69</v>
      </c>
      <c r="F9" s="4" t="s">
        <v>86</v>
      </c>
      <c r="G9" s="4" t="s">
        <v>87</v>
      </c>
      <c r="H9" s="4" t="s">
        <v>79</v>
      </c>
      <c r="I9" s="4"/>
    </row>
    <row r="10" customFormat="false" ht="15" hidden="false" customHeight="false" outlineLevel="0" collapsed="false">
      <c r="A10" s="4" t="n">
        <v>1</v>
      </c>
      <c r="B10" s="4" t="s">
        <v>644</v>
      </c>
      <c r="C10" s="4" t="s">
        <v>88</v>
      </c>
      <c r="D10" s="4" t="n">
        <v>15</v>
      </c>
      <c r="E10" s="4" t="s">
        <v>74</v>
      </c>
      <c r="F10" s="4" t="s">
        <v>89</v>
      </c>
      <c r="G10" s="4" t="s">
        <v>90</v>
      </c>
      <c r="H10" s="4" t="s">
        <v>79</v>
      </c>
      <c r="I10" s="4"/>
    </row>
    <row r="11" customFormat="false" ht="15" hidden="false" customHeight="false" outlineLevel="0" collapsed="false">
      <c r="A11" s="4" t="n">
        <v>1</v>
      </c>
      <c r="B11" s="4" t="s">
        <v>644</v>
      </c>
      <c r="C11" s="4" t="s">
        <v>91</v>
      </c>
      <c r="D11" s="4" t="n">
        <v>80</v>
      </c>
      <c r="E11" s="4" t="s">
        <v>69</v>
      </c>
      <c r="F11" s="4" t="s">
        <v>92</v>
      </c>
      <c r="G11" s="4" t="s">
        <v>93</v>
      </c>
      <c r="H11" s="4" t="s">
        <v>94</v>
      </c>
      <c r="I11" s="4"/>
    </row>
    <row r="12" customFormat="false" ht="15" hidden="false" customHeight="false" outlineLevel="0" collapsed="false">
      <c r="A12" s="4" t="n">
        <v>1</v>
      </c>
      <c r="B12" s="4" t="s">
        <v>644</v>
      </c>
      <c r="C12" s="4" t="s">
        <v>95</v>
      </c>
      <c r="D12" s="4" t="n">
        <v>1</v>
      </c>
      <c r="E12" s="4" t="s">
        <v>69</v>
      </c>
      <c r="F12" s="4" t="s">
        <v>96</v>
      </c>
      <c r="G12" s="4" t="s">
        <v>97</v>
      </c>
      <c r="H12" s="4" t="s">
        <v>79</v>
      </c>
      <c r="I12" s="4"/>
    </row>
    <row r="13" customFormat="false" ht="15" hidden="false" customHeight="false" outlineLevel="0" collapsed="false">
      <c r="A13" s="4" t="n">
        <v>1</v>
      </c>
      <c r="B13" s="4" t="s">
        <v>644</v>
      </c>
      <c r="C13" s="4" t="s">
        <v>98</v>
      </c>
      <c r="D13" s="4" t="n">
        <v>0.5</v>
      </c>
      <c r="E13" s="4" t="s">
        <v>69</v>
      </c>
      <c r="F13" s="4" t="s">
        <v>99</v>
      </c>
      <c r="G13" s="4" t="s">
        <v>97</v>
      </c>
      <c r="H13" s="4" t="s">
        <v>79</v>
      </c>
      <c r="I13" s="4"/>
    </row>
    <row r="14" customFormat="false" ht="15" hidden="false" customHeight="false" outlineLevel="0" collapsed="false">
      <c r="A14" s="4" t="n">
        <v>2</v>
      </c>
      <c r="B14" s="4" t="s">
        <v>645</v>
      </c>
      <c r="C14" s="4" t="s">
        <v>114</v>
      </c>
      <c r="D14" s="4" t="n">
        <v>250</v>
      </c>
      <c r="E14" s="4" t="s">
        <v>69</v>
      </c>
      <c r="F14" s="4" t="s">
        <v>115</v>
      </c>
      <c r="G14" s="4" t="s">
        <v>116</v>
      </c>
      <c r="H14" s="4" t="s">
        <v>72</v>
      </c>
      <c r="I14" s="4"/>
    </row>
    <row r="15" customFormat="false" ht="15" hidden="false" customHeight="false" outlineLevel="0" collapsed="false">
      <c r="A15" s="4" t="n">
        <v>2</v>
      </c>
      <c r="B15" s="4" t="s">
        <v>645</v>
      </c>
      <c r="C15" s="4" t="s">
        <v>117</v>
      </c>
      <c r="D15" s="4" t="n">
        <v>50</v>
      </c>
      <c r="E15" s="4" t="s">
        <v>69</v>
      </c>
      <c r="F15" s="4" t="s">
        <v>118</v>
      </c>
      <c r="G15" s="4" t="s">
        <v>119</v>
      </c>
      <c r="H15" s="4" t="s">
        <v>72</v>
      </c>
      <c r="I15" s="4"/>
    </row>
    <row r="16" customFormat="false" ht="15" hidden="false" customHeight="false" outlineLevel="0" collapsed="false">
      <c r="A16" s="4" t="n">
        <v>2</v>
      </c>
      <c r="B16" s="4" t="s">
        <v>645</v>
      </c>
      <c r="C16" s="4" t="s">
        <v>120</v>
      </c>
      <c r="D16" s="4" t="n">
        <v>60</v>
      </c>
      <c r="E16" s="4" t="s">
        <v>69</v>
      </c>
      <c r="F16" s="4" t="s">
        <v>121</v>
      </c>
      <c r="G16" s="4" t="s">
        <v>120</v>
      </c>
      <c r="H16" s="4" t="s">
        <v>72</v>
      </c>
      <c r="I16" s="4"/>
    </row>
    <row r="17" customFormat="false" ht="15" hidden="false" customHeight="false" outlineLevel="0" collapsed="false">
      <c r="A17" s="4" t="n">
        <v>2</v>
      </c>
      <c r="B17" s="4" t="s">
        <v>645</v>
      </c>
      <c r="C17" s="4" t="s">
        <v>122</v>
      </c>
      <c r="D17" s="4" t="n">
        <v>20</v>
      </c>
      <c r="E17" s="4" t="s">
        <v>69</v>
      </c>
      <c r="F17" s="4" t="s">
        <v>123</v>
      </c>
      <c r="G17" s="4" t="s">
        <v>124</v>
      </c>
      <c r="H17" s="4" t="s">
        <v>72</v>
      </c>
      <c r="I17" s="4"/>
    </row>
    <row r="18" customFormat="false" ht="15" hidden="false" customHeight="false" outlineLevel="0" collapsed="false">
      <c r="A18" s="4" t="n">
        <v>2</v>
      </c>
      <c r="B18" s="4" t="s">
        <v>645</v>
      </c>
      <c r="C18" s="4" t="s">
        <v>125</v>
      </c>
      <c r="D18" s="4" t="n">
        <v>100</v>
      </c>
      <c r="E18" s="4" t="s">
        <v>74</v>
      </c>
      <c r="F18" s="4" t="s">
        <v>75</v>
      </c>
      <c r="G18" s="4" t="s">
        <v>126</v>
      </c>
      <c r="H18" s="4" t="s">
        <v>72</v>
      </c>
      <c r="I18" s="4"/>
    </row>
    <row r="19" customFormat="false" ht="15" hidden="false" customHeight="false" outlineLevel="0" collapsed="false">
      <c r="A19" s="4" t="n">
        <v>2</v>
      </c>
      <c r="B19" s="4" t="s">
        <v>645</v>
      </c>
      <c r="C19" s="4" t="s">
        <v>127</v>
      </c>
      <c r="D19" s="4" t="n">
        <v>50</v>
      </c>
      <c r="E19" s="4" t="s">
        <v>69</v>
      </c>
      <c r="F19" s="4" t="s">
        <v>128</v>
      </c>
      <c r="G19" s="4" t="s">
        <v>129</v>
      </c>
      <c r="H19" s="4" t="s">
        <v>72</v>
      </c>
      <c r="I19" s="4"/>
    </row>
    <row r="20" customFormat="false" ht="15" hidden="false" customHeight="false" outlineLevel="0" collapsed="false">
      <c r="A20" s="4" t="n">
        <v>2</v>
      </c>
      <c r="B20" s="4" t="s">
        <v>645</v>
      </c>
      <c r="C20" s="4" t="s">
        <v>95</v>
      </c>
      <c r="D20" s="4" t="n">
        <v>1</v>
      </c>
      <c r="E20" s="4" t="s">
        <v>69</v>
      </c>
      <c r="F20" s="4" t="s">
        <v>96</v>
      </c>
      <c r="G20" s="4" t="s">
        <v>97</v>
      </c>
      <c r="H20" s="4" t="s">
        <v>79</v>
      </c>
      <c r="I20" s="4"/>
    </row>
    <row r="21" customFormat="false" ht="15" hidden="false" customHeight="false" outlineLevel="0" collapsed="false">
      <c r="A21" s="4" t="n">
        <v>2</v>
      </c>
      <c r="B21" s="4" t="s">
        <v>645</v>
      </c>
      <c r="C21" s="4" t="s">
        <v>98</v>
      </c>
      <c r="D21" s="4" t="n">
        <v>0.5</v>
      </c>
      <c r="E21" s="4" t="s">
        <v>69</v>
      </c>
      <c r="F21" s="4"/>
      <c r="G21" s="4" t="s">
        <v>97</v>
      </c>
      <c r="H21" s="4" t="s">
        <v>79</v>
      </c>
      <c r="I21" s="4"/>
    </row>
    <row r="22" customFormat="false" ht="15" hidden="false" customHeight="false" outlineLevel="0" collapsed="false">
      <c r="A22" s="4" t="n">
        <v>3</v>
      </c>
      <c r="B22" s="4" t="s">
        <v>646</v>
      </c>
      <c r="C22" s="4" t="s">
        <v>140</v>
      </c>
      <c r="D22" s="4" t="n">
        <v>160</v>
      </c>
      <c r="E22" s="4" t="s">
        <v>69</v>
      </c>
      <c r="F22" s="4" t="s">
        <v>141</v>
      </c>
      <c r="G22" s="4" t="s">
        <v>142</v>
      </c>
      <c r="H22" s="4" t="s">
        <v>72</v>
      </c>
      <c r="I22" s="4"/>
    </row>
    <row r="23" customFormat="false" ht="15" hidden="false" customHeight="false" outlineLevel="0" collapsed="false">
      <c r="A23" s="4" t="n">
        <v>3</v>
      </c>
      <c r="B23" s="4" t="s">
        <v>646</v>
      </c>
      <c r="C23" s="4" t="s">
        <v>143</v>
      </c>
      <c r="D23" s="4" t="n">
        <v>60</v>
      </c>
      <c r="E23" s="4" t="s">
        <v>69</v>
      </c>
      <c r="F23" s="4" t="s">
        <v>144</v>
      </c>
      <c r="G23" s="4" t="s">
        <v>145</v>
      </c>
      <c r="H23" s="4" t="s">
        <v>72</v>
      </c>
      <c r="I23" s="4"/>
    </row>
    <row r="24" customFormat="false" ht="15" hidden="false" customHeight="false" outlineLevel="0" collapsed="false">
      <c r="A24" s="4" t="n">
        <v>3</v>
      </c>
      <c r="B24" s="4" t="s">
        <v>646</v>
      </c>
      <c r="C24" s="4" t="s">
        <v>146</v>
      </c>
      <c r="D24" s="4" t="n">
        <v>50</v>
      </c>
      <c r="E24" s="4" t="s">
        <v>69</v>
      </c>
      <c r="F24" s="4" t="s">
        <v>147</v>
      </c>
      <c r="G24" s="4" t="s">
        <v>124</v>
      </c>
      <c r="H24" s="4" t="s">
        <v>72</v>
      </c>
      <c r="I24" s="4"/>
    </row>
    <row r="25" customFormat="false" ht="15" hidden="false" customHeight="false" outlineLevel="0" collapsed="false">
      <c r="A25" s="4" t="n">
        <v>3</v>
      </c>
      <c r="B25" s="4" t="s">
        <v>646</v>
      </c>
      <c r="C25" s="4" t="s">
        <v>148</v>
      </c>
      <c r="D25" s="4" t="n">
        <v>70</v>
      </c>
      <c r="E25" s="4" t="s">
        <v>69</v>
      </c>
      <c r="F25" s="4" t="s">
        <v>149</v>
      </c>
      <c r="G25" s="4" t="s">
        <v>148</v>
      </c>
      <c r="H25" s="4" t="s">
        <v>72</v>
      </c>
      <c r="I25" s="4"/>
    </row>
    <row r="26" customFormat="false" ht="15" hidden="false" customHeight="false" outlineLevel="0" collapsed="false">
      <c r="A26" s="4" t="n">
        <v>3</v>
      </c>
      <c r="B26" s="4" t="s">
        <v>646</v>
      </c>
      <c r="C26" s="4" t="s">
        <v>95</v>
      </c>
      <c r="D26" s="4" t="n">
        <v>0.5</v>
      </c>
      <c r="E26" s="4" t="s">
        <v>69</v>
      </c>
      <c r="F26" s="4" t="s">
        <v>96</v>
      </c>
      <c r="G26" s="4" t="s">
        <v>97</v>
      </c>
      <c r="H26" s="4" t="s">
        <v>79</v>
      </c>
      <c r="I26" s="4"/>
    </row>
    <row r="27" customFormat="false" ht="15" hidden="false" customHeight="false" outlineLevel="0" collapsed="false">
      <c r="A27" s="4" t="n">
        <v>3</v>
      </c>
      <c r="B27" s="4" t="s">
        <v>646</v>
      </c>
      <c r="C27" s="4" t="s">
        <v>98</v>
      </c>
      <c r="D27" s="4" t="n">
        <v>0.5</v>
      </c>
      <c r="E27" s="4" t="s">
        <v>69</v>
      </c>
      <c r="F27" s="4"/>
      <c r="G27" s="4" t="s">
        <v>97</v>
      </c>
      <c r="H27" s="4" t="s">
        <v>79</v>
      </c>
      <c r="I27" s="4"/>
    </row>
    <row r="28" customFormat="false" ht="15" hidden="false" customHeight="false" outlineLevel="0" collapsed="false">
      <c r="A28" s="4" t="n">
        <v>4</v>
      </c>
      <c r="B28" s="4" t="s">
        <v>647</v>
      </c>
      <c r="C28" s="4" t="s">
        <v>161</v>
      </c>
      <c r="D28" s="4" t="n">
        <v>150</v>
      </c>
      <c r="E28" s="4" t="s">
        <v>69</v>
      </c>
      <c r="F28" s="4" t="s">
        <v>162</v>
      </c>
      <c r="G28" s="4" t="s">
        <v>163</v>
      </c>
      <c r="H28" s="4" t="s">
        <v>72</v>
      </c>
      <c r="I28" s="4" t="s">
        <v>160</v>
      </c>
    </row>
    <row r="29" customFormat="false" ht="15" hidden="false" customHeight="false" outlineLevel="0" collapsed="false">
      <c r="A29" s="4" t="n">
        <v>4</v>
      </c>
      <c r="B29" s="4" t="s">
        <v>647</v>
      </c>
      <c r="C29" s="4" t="s">
        <v>117</v>
      </c>
      <c r="D29" s="4" t="n">
        <v>70</v>
      </c>
      <c r="E29" s="4" t="s">
        <v>69</v>
      </c>
      <c r="F29" s="4" t="s">
        <v>164</v>
      </c>
      <c r="G29" s="4" t="s">
        <v>119</v>
      </c>
      <c r="H29" s="4" t="s">
        <v>72</v>
      </c>
      <c r="I29" s="4" t="s">
        <v>160</v>
      </c>
    </row>
    <row r="30" customFormat="false" ht="15" hidden="false" customHeight="false" outlineLevel="0" collapsed="false">
      <c r="A30" s="4" t="n">
        <v>4</v>
      </c>
      <c r="B30" s="4" t="s">
        <v>647</v>
      </c>
      <c r="C30" s="4" t="s">
        <v>165</v>
      </c>
      <c r="D30" s="4" t="n">
        <v>40</v>
      </c>
      <c r="E30" s="4" t="s">
        <v>69</v>
      </c>
      <c r="F30" s="4" t="s">
        <v>166</v>
      </c>
      <c r="G30" s="4" t="s">
        <v>167</v>
      </c>
      <c r="H30" s="4" t="s">
        <v>72</v>
      </c>
      <c r="I30" s="4" t="s">
        <v>160</v>
      </c>
    </row>
    <row r="31" customFormat="false" ht="15" hidden="false" customHeight="false" outlineLevel="0" collapsed="false">
      <c r="A31" s="4" t="n">
        <v>4</v>
      </c>
      <c r="B31" s="4" t="s">
        <v>647</v>
      </c>
      <c r="C31" s="4" t="s">
        <v>168</v>
      </c>
      <c r="D31" s="4" t="n">
        <v>10</v>
      </c>
      <c r="E31" s="4" t="s">
        <v>74</v>
      </c>
      <c r="F31" s="4" t="s">
        <v>169</v>
      </c>
      <c r="G31" s="4" t="s">
        <v>90</v>
      </c>
      <c r="H31" s="4" t="s">
        <v>72</v>
      </c>
      <c r="I31" s="4" t="s">
        <v>160</v>
      </c>
    </row>
    <row r="32" customFormat="false" ht="15" hidden="false" customHeight="false" outlineLevel="0" collapsed="false">
      <c r="A32" s="4" t="n">
        <v>4</v>
      </c>
      <c r="B32" s="4" t="s">
        <v>647</v>
      </c>
      <c r="C32" s="4" t="s">
        <v>170</v>
      </c>
      <c r="D32" s="4" t="n">
        <v>60</v>
      </c>
      <c r="E32" s="4" t="s">
        <v>69</v>
      </c>
      <c r="F32" s="4" t="s">
        <v>171</v>
      </c>
      <c r="G32" s="4" t="s">
        <v>172</v>
      </c>
      <c r="H32" s="4" t="s">
        <v>72</v>
      </c>
      <c r="I32" s="4" t="s">
        <v>160</v>
      </c>
    </row>
    <row r="33" customFormat="false" ht="15" hidden="false" customHeight="false" outlineLevel="0" collapsed="false">
      <c r="A33" s="4" t="n">
        <v>4</v>
      </c>
      <c r="B33" s="4" t="s">
        <v>647</v>
      </c>
      <c r="C33" s="4" t="s">
        <v>173</v>
      </c>
      <c r="D33" s="4" t="n">
        <v>100</v>
      </c>
      <c r="E33" s="4" t="s">
        <v>74</v>
      </c>
      <c r="F33" s="4" t="s">
        <v>92</v>
      </c>
      <c r="G33" s="4" t="s">
        <v>174</v>
      </c>
      <c r="H33" s="4" t="s">
        <v>72</v>
      </c>
      <c r="I33" s="4" t="s">
        <v>160</v>
      </c>
    </row>
    <row r="34" customFormat="false" ht="15" hidden="false" customHeight="false" outlineLevel="0" collapsed="false">
      <c r="A34" s="4" t="n">
        <v>4</v>
      </c>
      <c r="B34" s="4" t="s">
        <v>647</v>
      </c>
      <c r="C34" s="4" t="s">
        <v>174</v>
      </c>
      <c r="D34" s="4" t="n">
        <v>200</v>
      </c>
      <c r="E34" s="4" t="s">
        <v>74</v>
      </c>
      <c r="F34" s="4" t="s">
        <v>175</v>
      </c>
      <c r="G34" s="4" t="s">
        <v>174</v>
      </c>
      <c r="H34" s="4" t="s">
        <v>72</v>
      </c>
      <c r="I34" s="4" t="s">
        <v>160</v>
      </c>
    </row>
    <row r="35" customFormat="false" ht="15" hidden="false" customHeight="false" outlineLevel="0" collapsed="false">
      <c r="A35" s="4" t="n">
        <v>4</v>
      </c>
      <c r="B35" s="4" t="s">
        <v>647</v>
      </c>
      <c r="C35" s="4" t="s">
        <v>176</v>
      </c>
      <c r="D35" s="4" t="n">
        <v>25</v>
      </c>
      <c r="E35" s="4" t="s">
        <v>69</v>
      </c>
      <c r="F35" s="4" t="s">
        <v>123</v>
      </c>
      <c r="G35" s="4" t="s">
        <v>124</v>
      </c>
      <c r="H35" s="4" t="s">
        <v>72</v>
      </c>
      <c r="I35" s="4" t="s">
        <v>160</v>
      </c>
    </row>
    <row r="36" customFormat="false" ht="15" hidden="false" customHeight="false" outlineLevel="0" collapsed="false">
      <c r="A36" s="4" t="n">
        <v>4</v>
      </c>
      <c r="B36" s="4" t="s">
        <v>647</v>
      </c>
      <c r="C36" s="4" t="s">
        <v>177</v>
      </c>
      <c r="D36" s="4" t="n">
        <v>2</v>
      </c>
      <c r="E36" s="4" t="s">
        <v>69</v>
      </c>
      <c r="F36" s="4" t="s">
        <v>81</v>
      </c>
      <c r="G36" s="4" t="s">
        <v>178</v>
      </c>
      <c r="H36" s="4" t="s">
        <v>79</v>
      </c>
      <c r="I36" s="4" t="s">
        <v>160</v>
      </c>
    </row>
    <row r="37" customFormat="false" ht="15" hidden="false" customHeight="false" outlineLevel="0" collapsed="false">
      <c r="A37" s="4" t="n">
        <v>4</v>
      </c>
      <c r="B37" s="4" t="s">
        <v>647</v>
      </c>
      <c r="C37" s="4" t="s">
        <v>95</v>
      </c>
      <c r="D37" s="4" t="n">
        <v>1</v>
      </c>
      <c r="E37" s="4" t="s">
        <v>69</v>
      </c>
      <c r="F37" s="4"/>
      <c r="G37" s="4" t="s">
        <v>97</v>
      </c>
      <c r="H37" s="4" t="s">
        <v>79</v>
      </c>
      <c r="I37" s="4" t="s">
        <v>160</v>
      </c>
    </row>
    <row r="38" customFormat="false" ht="15" hidden="false" customHeight="false" outlineLevel="0" collapsed="false">
      <c r="A38" s="4" t="n">
        <v>4</v>
      </c>
      <c r="B38" s="4" t="s">
        <v>647</v>
      </c>
      <c r="C38" s="4" t="s">
        <v>98</v>
      </c>
      <c r="D38" s="4" t="n">
        <v>0.5</v>
      </c>
      <c r="E38" s="4" t="s">
        <v>69</v>
      </c>
      <c r="F38" s="4"/>
      <c r="G38" s="4" t="s">
        <v>97</v>
      </c>
      <c r="H38" s="4" t="s">
        <v>79</v>
      </c>
      <c r="I38" s="4" t="s">
        <v>160</v>
      </c>
    </row>
    <row r="39" customFormat="false" ht="15" hidden="false" customHeight="false" outlineLevel="0" collapsed="false">
      <c r="A39" s="4" t="n">
        <v>5</v>
      </c>
      <c r="B39" s="4" t="s">
        <v>648</v>
      </c>
      <c r="C39" s="4" t="s">
        <v>190</v>
      </c>
      <c r="D39" s="4" t="n">
        <v>125</v>
      </c>
      <c r="E39" s="4" t="s">
        <v>69</v>
      </c>
      <c r="F39" s="4" t="s">
        <v>147</v>
      </c>
      <c r="G39" s="4" t="s">
        <v>191</v>
      </c>
      <c r="H39" s="4" t="s">
        <v>72</v>
      </c>
      <c r="I39" s="4"/>
    </row>
    <row r="40" customFormat="false" ht="15" hidden="false" customHeight="false" outlineLevel="0" collapsed="false">
      <c r="A40" s="4" t="n">
        <v>5</v>
      </c>
      <c r="B40" s="4" t="s">
        <v>648</v>
      </c>
      <c r="C40" s="4" t="s">
        <v>192</v>
      </c>
      <c r="D40" s="4" t="n">
        <v>125</v>
      </c>
      <c r="E40" s="4" t="s">
        <v>74</v>
      </c>
      <c r="F40" s="4" t="s">
        <v>193</v>
      </c>
      <c r="G40" s="4" t="s">
        <v>126</v>
      </c>
      <c r="H40" s="4" t="s">
        <v>72</v>
      </c>
      <c r="I40" s="4"/>
    </row>
    <row r="41" customFormat="false" ht="15" hidden="false" customHeight="false" outlineLevel="0" collapsed="false">
      <c r="A41" s="4" t="n">
        <v>5</v>
      </c>
      <c r="B41" s="4" t="s">
        <v>648</v>
      </c>
      <c r="C41" s="4" t="s">
        <v>194</v>
      </c>
      <c r="D41" s="4" t="n">
        <v>18</v>
      </c>
      <c r="E41" s="4" t="s">
        <v>69</v>
      </c>
      <c r="F41" s="4" t="s">
        <v>195</v>
      </c>
      <c r="G41" s="4" t="s">
        <v>196</v>
      </c>
      <c r="H41" s="4" t="s">
        <v>72</v>
      </c>
      <c r="I41" s="4"/>
    </row>
    <row r="42" customFormat="false" ht="15" hidden="false" customHeight="false" outlineLevel="0" collapsed="false">
      <c r="A42" s="4" t="n">
        <v>5</v>
      </c>
      <c r="B42" s="4" t="s">
        <v>648</v>
      </c>
      <c r="C42" s="4" t="s">
        <v>120</v>
      </c>
      <c r="D42" s="4" t="n">
        <v>60</v>
      </c>
      <c r="E42" s="4" t="s">
        <v>69</v>
      </c>
      <c r="F42" s="4" t="s">
        <v>121</v>
      </c>
      <c r="G42" s="4" t="s">
        <v>120</v>
      </c>
      <c r="H42" s="4" t="s">
        <v>72</v>
      </c>
      <c r="I42" s="4"/>
    </row>
    <row r="43" customFormat="false" ht="15" hidden="false" customHeight="false" outlineLevel="0" collapsed="false">
      <c r="A43" s="4" t="n">
        <v>5</v>
      </c>
      <c r="B43" s="4" t="s">
        <v>648</v>
      </c>
      <c r="C43" s="4" t="s">
        <v>117</v>
      </c>
      <c r="D43" s="4" t="n">
        <v>50</v>
      </c>
      <c r="E43" s="4" t="s">
        <v>69</v>
      </c>
      <c r="F43" s="4" t="s">
        <v>197</v>
      </c>
      <c r="G43" s="4" t="s">
        <v>119</v>
      </c>
      <c r="H43" s="4" t="s">
        <v>72</v>
      </c>
      <c r="I43" s="4"/>
    </row>
    <row r="44" customFormat="false" ht="15" hidden="false" customHeight="false" outlineLevel="0" collapsed="false">
      <c r="A44" s="4" t="n">
        <v>5</v>
      </c>
      <c r="B44" s="4" t="s">
        <v>648</v>
      </c>
      <c r="C44" s="4" t="s">
        <v>95</v>
      </c>
      <c r="D44" s="4" t="n">
        <v>1</v>
      </c>
      <c r="E44" s="4" t="s">
        <v>69</v>
      </c>
      <c r="F44" s="4" t="s">
        <v>96</v>
      </c>
      <c r="G44" s="4" t="s">
        <v>97</v>
      </c>
      <c r="H44" s="4" t="s">
        <v>79</v>
      </c>
      <c r="I44" s="4"/>
    </row>
    <row r="45" customFormat="false" ht="15" hidden="false" customHeight="false" outlineLevel="0" collapsed="false">
      <c r="A45" s="4" t="n">
        <v>5</v>
      </c>
      <c r="B45" s="4" t="s">
        <v>648</v>
      </c>
      <c r="C45" s="4" t="s">
        <v>98</v>
      </c>
      <c r="D45" s="4" t="n">
        <v>1</v>
      </c>
      <c r="E45" s="4" t="s">
        <v>69</v>
      </c>
      <c r="F45" s="4" t="s">
        <v>198</v>
      </c>
      <c r="G45" s="4" t="s">
        <v>97</v>
      </c>
      <c r="H45" s="4" t="s">
        <v>79</v>
      </c>
      <c r="I45" s="4"/>
    </row>
    <row r="46" customFormat="false" ht="15" hidden="false" customHeight="false" outlineLevel="0" collapsed="false">
      <c r="A46" s="4" t="n">
        <v>6</v>
      </c>
      <c r="B46" s="4" t="s">
        <v>649</v>
      </c>
      <c r="C46" s="4" t="s">
        <v>209</v>
      </c>
      <c r="D46" s="4" t="n">
        <v>150</v>
      </c>
      <c r="E46" s="4" t="s">
        <v>69</v>
      </c>
      <c r="F46" s="4" t="s">
        <v>210</v>
      </c>
      <c r="G46" s="4" t="s">
        <v>71</v>
      </c>
      <c r="H46" s="4" t="s">
        <v>72</v>
      </c>
      <c r="I46" s="4" t="s">
        <v>208</v>
      </c>
    </row>
    <row r="47" customFormat="false" ht="15" hidden="false" customHeight="false" outlineLevel="0" collapsed="false">
      <c r="A47" s="4" t="n">
        <v>6</v>
      </c>
      <c r="B47" s="4" t="s">
        <v>649</v>
      </c>
      <c r="C47" s="4" t="s">
        <v>117</v>
      </c>
      <c r="D47" s="4" t="n">
        <v>30</v>
      </c>
      <c r="E47" s="4" t="s">
        <v>69</v>
      </c>
      <c r="F47" s="4" t="s">
        <v>211</v>
      </c>
      <c r="G47" s="4" t="s">
        <v>119</v>
      </c>
      <c r="H47" s="4" t="s">
        <v>72</v>
      </c>
      <c r="I47" s="4" t="s">
        <v>208</v>
      </c>
    </row>
    <row r="48" customFormat="false" ht="15" hidden="false" customHeight="false" outlineLevel="0" collapsed="false">
      <c r="A48" s="4" t="n">
        <v>6</v>
      </c>
      <c r="B48" s="4" t="s">
        <v>649</v>
      </c>
      <c r="C48" s="4" t="s">
        <v>212</v>
      </c>
      <c r="D48" s="4" t="n">
        <v>3</v>
      </c>
      <c r="E48" s="4" t="s">
        <v>69</v>
      </c>
      <c r="F48" s="4" t="s">
        <v>213</v>
      </c>
      <c r="G48" s="4" t="s">
        <v>214</v>
      </c>
      <c r="H48" s="4" t="s">
        <v>72</v>
      </c>
      <c r="I48" s="4" t="s">
        <v>208</v>
      </c>
    </row>
    <row r="49" customFormat="false" ht="15" hidden="false" customHeight="false" outlineLevel="0" collapsed="false">
      <c r="A49" s="4" t="n">
        <v>6</v>
      </c>
      <c r="B49" s="4" t="s">
        <v>649</v>
      </c>
      <c r="C49" s="4" t="s">
        <v>143</v>
      </c>
      <c r="D49" s="4" t="n">
        <v>60</v>
      </c>
      <c r="E49" s="4" t="s">
        <v>69</v>
      </c>
      <c r="F49" s="4" t="s">
        <v>144</v>
      </c>
      <c r="G49" s="4" t="s">
        <v>145</v>
      </c>
      <c r="H49" s="4" t="s">
        <v>72</v>
      </c>
      <c r="I49" s="4" t="s">
        <v>208</v>
      </c>
    </row>
    <row r="50" customFormat="false" ht="15" hidden="false" customHeight="false" outlineLevel="0" collapsed="false">
      <c r="A50" s="4" t="n">
        <v>6</v>
      </c>
      <c r="B50" s="4" t="s">
        <v>649</v>
      </c>
      <c r="C50" s="4" t="s">
        <v>215</v>
      </c>
      <c r="D50" s="4" t="n">
        <v>60</v>
      </c>
      <c r="E50" s="4" t="s">
        <v>69</v>
      </c>
      <c r="F50" s="4" t="s">
        <v>216</v>
      </c>
      <c r="G50" s="4" t="s">
        <v>217</v>
      </c>
      <c r="H50" s="4" t="s">
        <v>72</v>
      </c>
      <c r="I50" s="4" t="s">
        <v>208</v>
      </c>
    </row>
    <row r="51" customFormat="false" ht="15" hidden="false" customHeight="false" outlineLevel="0" collapsed="false">
      <c r="A51" s="4" t="n">
        <v>6</v>
      </c>
      <c r="B51" s="4" t="s">
        <v>649</v>
      </c>
      <c r="C51" s="4" t="s">
        <v>218</v>
      </c>
      <c r="D51" s="4" t="n">
        <v>5</v>
      </c>
      <c r="E51" s="4" t="s">
        <v>69</v>
      </c>
      <c r="F51" s="4" t="s">
        <v>81</v>
      </c>
      <c r="G51" s="4" t="s">
        <v>87</v>
      </c>
      <c r="H51" s="4" t="s">
        <v>79</v>
      </c>
      <c r="I51" s="4" t="s">
        <v>208</v>
      </c>
    </row>
    <row r="52" customFormat="false" ht="15" hidden="false" customHeight="false" outlineLevel="0" collapsed="false">
      <c r="A52" s="4" t="n">
        <v>6</v>
      </c>
      <c r="B52" s="4" t="s">
        <v>649</v>
      </c>
      <c r="C52" s="4" t="s">
        <v>219</v>
      </c>
      <c r="D52" s="4" t="n">
        <v>5</v>
      </c>
      <c r="E52" s="4" t="s">
        <v>69</v>
      </c>
      <c r="F52" s="4" t="s">
        <v>220</v>
      </c>
      <c r="G52" s="4" t="s">
        <v>221</v>
      </c>
      <c r="H52" s="4" t="s">
        <v>72</v>
      </c>
      <c r="I52" s="4" t="s">
        <v>208</v>
      </c>
    </row>
    <row r="53" customFormat="false" ht="15" hidden="false" customHeight="false" outlineLevel="0" collapsed="false">
      <c r="A53" s="4" t="n">
        <v>6</v>
      </c>
      <c r="B53" s="4" t="s">
        <v>649</v>
      </c>
      <c r="C53" s="4" t="s">
        <v>222</v>
      </c>
      <c r="D53" s="4" t="n">
        <v>1</v>
      </c>
      <c r="E53" s="4" t="s">
        <v>69</v>
      </c>
      <c r="F53" s="4" t="s">
        <v>96</v>
      </c>
      <c r="G53" s="4" t="s">
        <v>178</v>
      </c>
      <c r="H53" s="4" t="s">
        <v>79</v>
      </c>
      <c r="I53" s="4" t="s">
        <v>208</v>
      </c>
    </row>
    <row r="54" customFormat="false" ht="15" hidden="false" customHeight="false" outlineLevel="0" collapsed="false">
      <c r="A54" s="4" t="n">
        <v>6</v>
      </c>
      <c r="B54" s="4" t="s">
        <v>649</v>
      </c>
      <c r="C54" s="4" t="s">
        <v>174</v>
      </c>
      <c r="D54" s="4" t="n">
        <v>100</v>
      </c>
      <c r="E54" s="4" t="s">
        <v>74</v>
      </c>
      <c r="F54" s="4" t="s">
        <v>92</v>
      </c>
      <c r="G54" s="4" t="s">
        <v>174</v>
      </c>
      <c r="H54" s="4" t="s">
        <v>72</v>
      </c>
      <c r="I54" s="4" t="s">
        <v>208</v>
      </c>
    </row>
    <row r="55" customFormat="false" ht="15" hidden="false" customHeight="false" outlineLevel="0" collapsed="false">
      <c r="A55" s="4" t="n">
        <v>6</v>
      </c>
      <c r="B55" s="4" t="s">
        <v>649</v>
      </c>
      <c r="C55" s="4" t="s">
        <v>88</v>
      </c>
      <c r="D55" s="4" t="n">
        <v>10</v>
      </c>
      <c r="E55" s="4" t="s">
        <v>74</v>
      </c>
      <c r="F55" s="4" t="s">
        <v>169</v>
      </c>
      <c r="G55" s="4" t="s">
        <v>90</v>
      </c>
      <c r="H55" s="4" t="s">
        <v>79</v>
      </c>
      <c r="I55" s="4" t="s">
        <v>208</v>
      </c>
    </row>
    <row r="56" customFormat="false" ht="15" hidden="false" customHeight="false" outlineLevel="0" collapsed="false">
      <c r="A56" s="4" t="n">
        <v>6</v>
      </c>
      <c r="B56" s="4" t="s">
        <v>649</v>
      </c>
      <c r="C56" s="4" t="s">
        <v>223</v>
      </c>
      <c r="D56" s="4" t="n">
        <v>100</v>
      </c>
      <c r="E56" s="4" t="s">
        <v>69</v>
      </c>
      <c r="F56" s="4" t="s">
        <v>224</v>
      </c>
      <c r="G56" s="4" t="s">
        <v>191</v>
      </c>
      <c r="H56" s="4" t="s">
        <v>94</v>
      </c>
      <c r="I56" s="4" t="s">
        <v>208</v>
      </c>
    </row>
    <row r="57" customFormat="false" ht="15" hidden="false" customHeight="false" outlineLevel="0" collapsed="false">
      <c r="A57" s="4" t="n">
        <v>6</v>
      </c>
      <c r="B57" s="4" t="s">
        <v>649</v>
      </c>
      <c r="C57" s="4" t="s">
        <v>95</v>
      </c>
      <c r="D57" s="4" t="n">
        <v>1</v>
      </c>
      <c r="E57" s="4" t="s">
        <v>69</v>
      </c>
      <c r="F57" s="4"/>
      <c r="G57" s="4" t="s">
        <v>97</v>
      </c>
      <c r="H57" s="4" t="s">
        <v>79</v>
      </c>
      <c r="I57" s="4" t="s">
        <v>208</v>
      </c>
    </row>
    <row r="58" customFormat="false" ht="15" hidden="false" customHeight="false" outlineLevel="0" collapsed="false">
      <c r="A58" s="4" t="n">
        <v>6</v>
      </c>
      <c r="B58" s="4" t="s">
        <v>649</v>
      </c>
      <c r="C58" s="4" t="s">
        <v>98</v>
      </c>
      <c r="D58" s="4" t="n">
        <v>0.5</v>
      </c>
      <c r="E58" s="4" t="s">
        <v>69</v>
      </c>
      <c r="F58" s="4"/>
      <c r="G58" s="4" t="s">
        <v>97</v>
      </c>
      <c r="H58" s="4" t="s">
        <v>79</v>
      </c>
      <c r="I58" s="4" t="s">
        <v>208</v>
      </c>
    </row>
    <row r="59" customFormat="false" ht="15" hidden="false" customHeight="false" outlineLevel="0" collapsed="false">
      <c r="A59" s="4" t="n">
        <v>7</v>
      </c>
      <c r="B59" s="4" t="s">
        <v>650</v>
      </c>
      <c r="C59" s="4" t="s">
        <v>238</v>
      </c>
      <c r="D59" s="4" t="n">
        <v>50</v>
      </c>
      <c r="E59" s="4" t="s">
        <v>69</v>
      </c>
      <c r="F59" s="4" t="s">
        <v>239</v>
      </c>
      <c r="G59" s="4" t="s">
        <v>240</v>
      </c>
      <c r="H59" s="4" t="s">
        <v>72</v>
      </c>
      <c r="I59" s="4" t="s">
        <v>237</v>
      </c>
    </row>
    <row r="60" customFormat="false" ht="15" hidden="false" customHeight="false" outlineLevel="0" collapsed="false">
      <c r="A60" s="4" t="n">
        <v>7</v>
      </c>
      <c r="B60" s="4" t="s">
        <v>650</v>
      </c>
      <c r="C60" s="4" t="s">
        <v>241</v>
      </c>
      <c r="D60" s="4" t="n">
        <v>80</v>
      </c>
      <c r="E60" s="4" t="s">
        <v>69</v>
      </c>
      <c r="F60" s="4" t="s">
        <v>242</v>
      </c>
      <c r="G60" s="4" t="s">
        <v>243</v>
      </c>
      <c r="H60" s="4" t="s">
        <v>72</v>
      </c>
      <c r="I60" s="4" t="s">
        <v>237</v>
      </c>
    </row>
    <row r="61" customFormat="false" ht="15" hidden="false" customHeight="false" outlineLevel="0" collapsed="false">
      <c r="A61" s="4" t="n">
        <v>7</v>
      </c>
      <c r="B61" s="4" t="s">
        <v>650</v>
      </c>
      <c r="C61" s="4" t="s">
        <v>244</v>
      </c>
      <c r="D61" s="4" t="n">
        <v>60</v>
      </c>
      <c r="E61" s="4" t="s">
        <v>69</v>
      </c>
      <c r="F61" s="4" t="s">
        <v>245</v>
      </c>
      <c r="G61" s="4" t="s">
        <v>124</v>
      </c>
      <c r="H61" s="4" t="s">
        <v>72</v>
      </c>
      <c r="I61" s="4" t="s">
        <v>237</v>
      </c>
    </row>
    <row r="62" customFormat="false" ht="15" hidden="false" customHeight="false" outlineLevel="0" collapsed="false">
      <c r="A62" s="4" t="n">
        <v>7</v>
      </c>
      <c r="B62" s="4" t="s">
        <v>650</v>
      </c>
      <c r="C62" s="4" t="s">
        <v>246</v>
      </c>
      <c r="D62" s="4" t="n">
        <v>75</v>
      </c>
      <c r="E62" s="4" t="s">
        <v>69</v>
      </c>
      <c r="F62" s="4" t="s">
        <v>247</v>
      </c>
      <c r="G62" s="4" t="s">
        <v>246</v>
      </c>
      <c r="H62" s="4" t="s">
        <v>72</v>
      </c>
      <c r="I62" s="4" t="s">
        <v>237</v>
      </c>
    </row>
    <row r="63" customFormat="false" ht="15" hidden="false" customHeight="false" outlineLevel="0" collapsed="false">
      <c r="A63" s="4" t="n">
        <v>7</v>
      </c>
      <c r="B63" s="4" t="s">
        <v>650</v>
      </c>
      <c r="C63" s="4" t="s">
        <v>143</v>
      </c>
      <c r="D63" s="4" t="n">
        <v>50</v>
      </c>
      <c r="E63" s="4" t="s">
        <v>69</v>
      </c>
      <c r="F63" s="4" t="s">
        <v>248</v>
      </c>
      <c r="G63" s="4" t="s">
        <v>145</v>
      </c>
      <c r="H63" s="4" t="s">
        <v>72</v>
      </c>
      <c r="I63" s="4" t="s">
        <v>237</v>
      </c>
    </row>
    <row r="64" customFormat="false" ht="15" hidden="false" customHeight="false" outlineLevel="0" collapsed="false">
      <c r="A64" s="4" t="n">
        <v>7</v>
      </c>
      <c r="B64" s="4" t="s">
        <v>650</v>
      </c>
      <c r="C64" s="4" t="s">
        <v>168</v>
      </c>
      <c r="D64" s="4" t="n">
        <v>7</v>
      </c>
      <c r="E64" s="4" t="s">
        <v>74</v>
      </c>
      <c r="F64" s="4" t="s">
        <v>249</v>
      </c>
      <c r="G64" s="4" t="s">
        <v>90</v>
      </c>
      <c r="H64" s="4" t="s">
        <v>79</v>
      </c>
      <c r="I64" s="4" t="s">
        <v>237</v>
      </c>
    </row>
    <row r="65" customFormat="false" ht="15" hidden="false" customHeight="false" outlineLevel="0" collapsed="false">
      <c r="A65" s="4" t="n">
        <v>7</v>
      </c>
      <c r="B65" s="4" t="s">
        <v>650</v>
      </c>
      <c r="C65" s="4" t="s">
        <v>250</v>
      </c>
      <c r="D65" s="4" t="n">
        <v>2</v>
      </c>
      <c r="E65" s="4" t="s">
        <v>74</v>
      </c>
      <c r="F65" s="4" t="s">
        <v>251</v>
      </c>
      <c r="G65" s="4" t="s">
        <v>252</v>
      </c>
      <c r="H65" s="4" t="s">
        <v>79</v>
      </c>
      <c r="I65" s="4" t="s">
        <v>237</v>
      </c>
    </row>
    <row r="66" customFormat="false" ht="15" hidden="false" customHeight="false" outlineLevel="0" collapsed="false">
      <c r="A66" s="4" t="n">
        <v>7</v>
      </c>
      <c r="B66" s="4" t="s">
        <v>650</v>
      </c>
      <c r="C66" s="4" t="s">
        <v>95</v>
      </c>
      <c r="D66" s="4" t="n">
        <v>0.5</v>
      </c>
      <c r="E66" s="4" t="s">
        <v>69</v>
      </c>
      <c r="F66" s="4"/>
      <c r="G66" s="4" t="s">
        <v>97</v>
      </c>
      <c r="H66" s="4" t="s">
        <v>79</v>
      </c>
      <c r="I66" s="4" t="s">
        <v>237</v>
      </c>
    </row>
    <row r="67" customFormat="false" ht="15" hidden="false" customHeight="false" outlineLevel="0" collapsed="false">
      <c r="A67" s="4" t="n">
        <v>7</v>
      </c>
      <c r="B67" s="4" t="s">
        <v>650</v>
      </c>
      <c r="C67" s="4" t="s">
        <v>98</v>
      </c>
      <c r="D67" s="4" t="n">
        <v>0.5</v>
      </c>
      <c r="E67" s="4" t="s">
        <v>69</v>
      </c>
      <c r="F67" s="4"/>
      <c r="G67" s="4" t="s">
        <v>97</v>
      </c>
      <c r="H67" s="4" t="s">
        <v>79</v>
      </c>
      <c r="I67" s="4" t="s">
        <v>237</v>
      </c>
    </row>
    <row r="68" customFormat="false" ht="15" hidden="false" customHeight="false" outlineLevel="0" collapsed="false">
      <c r="A68" s="4" t="n">
        <v>8</v>
      </c>
      <c r="B68" s="4" t="s">
        <v>651</v>
      </c>
      <c r="C68" s="4" t="s">
        <v>261</v>
      </c>
      <c r="D68" s="4" t="n">
        <v>125</v>
      </c>
      <c r="E68" s="4" t="s">
        <v>69</v>
      </c>
      <c r="F68" s="4" t="s">
        <v>147</v>
      </c>
      <c r="G68" s="4" t="s">
        <v>191</v>
      </c>
      <c r="H68" s="4" t="s">
        <v>72</v>
      </c>
      <c r="I68" s="4"/>
    </row>
    <row r="69" customFormat="false" ht="15" hidden="false" customHeight="false" outlineLevel="0" collapsed="false">
      <c r="A69" s="4" t="n">
        <v>8</v>
      </c>
      <c r="B69" s="4" t="s">
        <v>651</v>
      </c>
      <c r="C69" s="4" t="s">
        <v>68</v>
      </c>
      <c r="D69" s="4" t="n">
        <v>100</v>
      </c>
      <c r="E69" s="4" t="s">
        <v>69</v>
      </c>
      <c r="F69" s="4" t="s">
        <v>262</v>
      </c>
      <c r="G69" s="4" t="s">
        <v>71</v>
      </c>
      <c r="H69" s="4" t="s">
        <v>72</v>
      </c>
      <c r="I69" s="4"/>
    </row>
    <row r="70" customFormat="false" ht="15" hidden="false" customHeight="false" outlineLevel="0" collapsed="false">
      <c r="A70" s="4" t="n">
        <v>8</v>
      </c>
      <c r="B70" s="4" t="s">
        <v>651</v>
      </c>
      <c r="C70" s="4" t="s">
        <v>263</v>
      </c>
      <c r="D70" s="4" t="n">
        <v>15</v>
      </c>
      <c r="E70" s="4" t="s">
        <v>74</v>
      </c>
      <c r="F70" s="4" t="s">
        <v>89</v>
      </c>
      <c r="G70" s="4" t="s">
        <v>145</v>
      </c>
      <c r="H70" s="4" t="s">
        <v>72</v>
      </c>
      <c r="I70" s="4"/>
    </row>
    <row r="71" customFormat="false" ht="15" hidden="false" customHeight="false" outlineLevel="0" collapsed="false">
      <c r="A71" s="4" t="n">
        <v>8</v>
      </c>
      <c r="B71" s="4" t="s">
        <v>651</v>
      </c>
      <c r="C71" s="4" t="s">
        <v>264</v>
      </c>
      <c r="D71" s="4" t="n">
        <v>50</v>
      </c>
      <c r="E71" s="4" t="s">
        <v>74</v>
      </c>
      <c r="F71" s="4" t="s">
        <v>265</v>
      </c>
      <c r="G71" s="4" t="s">
        <v>266</v>
      </c>
      <c r="H71" s="4" t="s">
        <v>72</v>
      </c>
      <c r="I71" s="4"/>
    </row>
    <row r="72" customFormat="false" ht="15" hidden="false" customHeight="false" outlineLevel="0" collapsed="false">
      <c r="A72" s="4" t="n">
        <v>8</v>
      </c>
      <c r="B72" s="4" t="s">
        <v>651</v>
      </c>
      <c r="C72" s="4" t="s">
        <v>267</v>
      </c>
      <c r="D72" s="4" t="n">
        <v>30</v>
      </c>
      <c r="E72" s="4" t="s">
        <v>69</v>
      </c>
      <c r="F72" s="4" t="s">
        <v>268</v>
      </c>
      <c r="G72" s="4" t="s">
        <v>269</v>
      </c>
      <c r="H72" s="4" t="s">
        <v>94</v>
      </c>
      <c r="I72" s="4"/>
    </row>
    <row r="73" customFormat="false" ht="15" hidden="false" customHeight="false" outlineLevel="0" collapsed="false">
      <c r="A73" s="4" t="n">
        <v>8</v>
      </c>
      <c r="B73" s="4" t="s">
        <v>651</v>
      </c>
      <c r="C73" s="4" t="s">
        <v>88</v>
      </c>
      <c r="D73" s="4" t="n">
        <v>5</v>
      </c>
      <c r="E73" s="4" t="s">
        <v>74</v>
      </c>
      <c r="F73" s="4" t="s">
        <v>81</v>
      </c>
      <c r="G73" s="4" t="s">
        <v>90</v>
      </c>
      <c r="H73" s="4" t="s">
        <v>79</v>
      </c>
      <c r="I73" s="4"/>
    </row>
    <row r="74" customFormat="false" ht="15" hidden="false" customHeight="false" outlineLevel="0" collapsed="false">
      <c r="A74" s="4" t="n">
        <v>8</v>
      </c>
      <c r="B74" s="4" t="s">
        <v>651</v>
      </c>
      <c r="C74" s="4" t="s">
        <v>95</v>
      </c>
      <c r="D74" s="4" t="n">
        <v>1</v>
      </c>
      <c r="E74" s="4" t="s">
        <v>69</v>
      </c>
      <c r="F74" s="4" t="s">
        <v>270</v>
      </c>
      <c r="G74" s="4" t="s">
        <v>97</v>
      </c>
      <c r="H74" s="4" t="s">
        <v>79</v>
      </c>
      <c r="I74" s="4"/>
    </row>
    <row r="75" customFormat="false" ht="15" hidden="false" customHeight="false" outlineLevel="0" collapsed="false">
      <c r="A75" s="4" t="n">
        <v>8</v>
      </c>
      <c r="B75" s="4" t="s">
        <v>651</v>
      </c>
      <c r="C75" s="4" t="s">
        <v>98</v>
      </c>
      <c r="D75" s="4" t="n">
        <v>0.5</v>
      </c>
      <c r="E75" s="4" t="s">
        <v>69</v>
      </c>
      <c r="F75" s="4"/>
      <c r="G75" s="4" t="s">
        <v>97</v>
      </c>
      <c r="H75" s="4" t="s">
        <v>79</v>
      </c>
      <c r="I75" s="4"/>
    </row>
    <row r="76" customFormat="false" ht="15" hidden="false" customHeight="false" outlineLevel="0" collapsed="false">
      <c r="A76" s="4" t="n">
        <v>9</v>
      </c>
      <c r="B76" s="4" t="s">
        <v>652</v>
      </c>
      <c r="C76" s="4" t="s">
        <v>281</v>
      </c>
      <c r="D76" s="4" t="n">
        <v>60</v>
      </c>
      <c r="E76" s="4" t="s">
        <v>69</v>
      </c>
      <c r="F76" s="4" t="s">
        <v>282</v>
      </c>
      <c r="G76" s="4" t="s">
        <v>240</v>
      </c>
      <c r="H76" s="4" t="s">
        <v>72</v>
      </c>
      <c r="I76" s="4" t="s">
        <v>280</v>
      </c>
    </row>
    <row r="77" customFormat="false" ht="15" hidden="false" customHeight="false" outlineLevel="0" collapsed="false">
      <c r="A77" s="4" t="n">
        <v>9</v>
      </c>
      <c r="B77" s="4" t="s">
        <v>652</v>
      </c>
      <c r="C77" s="4" t="s">
        <v>283</v>
      </c>
      <c r="D77" s="4" t="n">
        <v>25</v>
      </c>
      <c r="E77" s="4" t="s">
        <v>69</v>
      </c>
      <c r="F77" s="4" t="s">
        <v>284</v>
      </c>
      <c r="G77" s="4" t="s">
        <v>285</v>
      </c>
      <c r="H77" s="4" t="s">
        <v>72</v>
      </c>
      <c r="I77" s="4" t="s">
        <v>280</v>
      </c>
    </row>
    <row r="78" customFormat="false" ht="15" hidden="false" customHeight="false" outlineLevel="0" collapsed="false">
      <c r="A78" s="4" t="n">
        <v>9</v>
      </c>
      <c r="B78" s="4" t="s">
        <v>652</v>
      </c>
      <c r="C78" s="4" t="s">
        <v>285</v>
      </c>
      <c r="D78" s="4" t="n">
        <v>25</v>
      </c>
      <c r="E78" s="4" t="s">
        <v>69</v>
      </c>
      <c r="F78" s="4" t="s">
        <v>284</v>
      </c>
      <c r="G78" s="4" t="s">
        <v>285</v>
      </c>
      <c r="H78" s="4" t="s">
        <v>72</v>
      </c>
      <c r="I78" s="4" t="s">
        <v>280</v>
      </c>
    </row>
    <row r="79" customFormat="false" ht="15" hidden="false" customHeight="false" outlineLevel="0" collapsed="false">
      <c r="A79" s="4" t="n">
        <v>9</v>
      </c>
      <c r="B79" s="4" t="s">
        <v>652</v>
      </c>
      <c r="C79" s="4" t="s">
        <v>117</v>
      </c>
      <c r="D79" s="4" t="n">
        <v>40</v>
      </c>
      <c r="E79" s="4" t="s">
        <v>69</v>
      </c>
      <c r="F79" s="4" t="s">
        <v>211</v>
      </c>
      <c r="G79" s="4" t="s">
        <v>119</v>
      </c>
      <c r="H79" s="4" t="s">
        <v>72</v>
      </c>
      <c r="I79" s="4" t="s">
        <v>280</v>
      </c>
    </row>
    <row r="80" customFormat="false" ht="15" hidden="false" customHeight="false" outlineLevel="0" collapsed="false">
      <c r="A80" s="4" t="n">
        <v>9</v>
      </c>
      <c r="B80" s="4" t="s">
        <v>652</v>
      </c>
      <c r="C80" s="4" t="s">
        <v>91</v>
      </c>
      <c r="D80" s="4" t="n">
        <v>90</v>
      </c>
      <c r="E80" s="4" t="s">
        <v>69</v>
      </c>
      <c r="F80" s="4" t="s">
        <v>286</v>
      </c>
      <c r="G80" s="4" t="s">
        <v>93</v>
      </c>
      <c r="H80" s="4" t="s">
        <v>72</v>
      </c>
      <c r="I80" s="4" t="s">
        <v>280</v>
      </c>
    </row>
    <row r="81" customFormat="false" ht="15" hidden="false" customHeight="false" outlineLevel="0" collapsed="false">
      <c r="A81" s="4" t="n">
        <v>9</v>
      </c>
      <c r="B81" s="4" t="s">
        <v>652</v>
      </c>
      <c r="C81" s="4" t="s">
        <v>287</v>
      </c>
      <c r="D81" s="4" t="n">
        <v>3</v>
      </c>
      <c r="E81" s="4" t="s">
        <v>69</v>
      </c>
      <c r="F81" s="4" t="s">
        <v>288</v>
      </c>
      <c r="G81" s="4" t="s">
        <v>221</v>
      </c>
      <c r="H81" s="4" t="s">
        <v>72</v>
      </c>
      <c r="I81" s="4" t="s">
        <v>280</v>
      </c>
    </row>
    <row r="82" customFormat="false" ht="15" hidden="false" customHeight="false" outlineLevel="0" collapsed="false">
      <c r="A82" s="4" t="n">
        <v>9</v>
      </c>
      <c r="B82" s="4" t="s">
        <v>652</v>
      </c>
      <c r="C82" s="4" t="s">
        <v>174</v>
      </c>
      <c r="D82" s="4" t="n">
        <v>200</v>
      </c>
      <c r="E82" s="4" t="s">
        <v>74</v>
      </c>
      <c r="F82" s="4" t="s">
        <v>175</v>
      </c>
      <c r="G82" s="4" t="s">
        <v>174</v>
      </c>
      <c r="H82" s="4" t="s">
        <v>72</v>
      </c>
      <c r="I82" s="4" t="s">
        <v>280</v>
      </c>
    </row>
    <row r="83" customFormat="false" ht="15" hidden="false" customHeight="false" outlineLevel="0" collapsed="false">
      <c r="A83" s="4" t="n">
        <v>9</v>
      </c>
      <c r="B83" s="4" t="s">
        <v>652</v>
      </c>
      <c r="C83" s="4" t="s">
        <v>88</v>
      </c>
      <c r="D83" s="4" t="n">
        <v>10</v>
      </c>
      <c r="E83" s="4" t="s">
        <v>74</v>
      </c>
      <c r="F83" s="4" t="s">
        <v>169</v>
      </c>
      <c r="G83" s="4" t="s">
        <v>90</v>
      </c>
      <c r="H83" s="4" t="s">
        <v>79</v>
      </c>
      <c r="I83" s="4" t="s">
        <v>280</v>
      </c>
    </row>
    <row r="84" customFormat="false" ht="15" hidden="false" customHeight="false" outlineLevel="0" collapsed="false">
      <c r="A84" s="4" t="n">
        <v>9</v>
      </c>
      <c r="B84" s="4" t="s">
        <v>652</v>
      </c>
      <c r="C84" s="4" t="s">
        <v>95</v>
      </c>
      <c r="D84" s="4" t="n">
        <v>0.5</v>
      </c>
      <c r="E84" s="4" t="s">
        <v>69</v>
      </c>
      <c r="F84" s="4" t="s">
        <v>289</v>
      </c>
      <c r="G84" s="4" t="s">
        <v>97</v>
      </c>
      <c r="H84" s="4" t="s">
        <v>79</v>
      </c>
      <c r="I84" s="4" t="s">
        <v>280</v>
      </c>
    </row>
    <row r="85" customFormat="false" ht="15" hidden="false" customHeight="false" outlineLevel="0" collapsed="false">
      <c r="A85" s="4" t="n">
        <v>9</v>
      </c>
      <c r="B85" s="4" t="s">
        <v>652</v>
      </c>
      <c r="C85" s="4" t="s">
        <v>98</v>
      </c>
      <c r="D85" s="4" t="n">
        <v>0.5</v>
      </c>
      <c r="E85" s="4" t="s">
        <v>69</v>
      </c>
      <c r="F85" s="4"/>
      <c r="G85" s="4" t="s">
        <v>97</v>
      </c>
      <c r="H85" s="4" t="s">
        <v>79</v>
      </c>
      <c r="I85" s="4" t="s">
        <v>280</v>
      </c>
    </row>
    <row r="86" customFormat="false" ht="15" hidden="false" customHeight="false" outlineLevel="0" collapsed="false">
      <c r="A86" s="4" t="n">
        <v>10</v>
      </c>
      <c r="B86" s="4" t="s">
        <v>653</v>
      </c>
      <c r="C86" s="4" t="s">
        <v>302</v>
      </c>
      <c r="D86" s="4" t="n">
        <v>150</v>
      </c>
      <c r="E86" s="4" t="s">
        <v>69</v>
      </c>
      <c r="F86" s="4" t="s">
        <v>303</v>
      </c>
      <c r="G86" s="4" t="s">
        <v>302</v>
      </c>
      <c r="H86" s="4" t="s">
        <v>72</v>
      </c>
      <c r="I86" s="4" t="s">
        <v>301</v>
      </c>
    </row>
    <row r="87" customFormat="false" ht="15" hidden="false" customHeight="false" outlineLevel="0" collapsed="false">
      <c r="A87" s="4" t="n">
        <v>10</v>
      </c>
      <c r="B87" s="4" t="s">
        <v>653</v>
      </c>
      <c r="C87" s="4" t="s">
        <v>304</v>
      </c>
      <c r="D87" s="4" t="n">
        <v>15</v>
      </c>
      <c r="E87" s="4" t="s">
        <v>69</v>
      </c>
      <c r="F87" s="4" t="s">
        <v>89</v>
      </c>
      <c r="G87" s="4" t="s">
        <v>304</v>
      </c>
      <c r="H87" s="4" t="s">
        <v>72</v>
      </c>
      <c r="I87" s="4" t="s">
        <v>301</v>
      </c>
    </row>
    <row r="88" customFormat="false" ht="15" hidden="false" customHeight="false" outlineLevel="0" collapsed="false">
      <c r="A88" s="4" t="n">
        <v>10</v>
      </c>
      <c r="B88" s="4" t="s">
        <v>653</v>
      </c>
      <c r="C88" s="4" t="s">
        <v>143</v>
      </c>
      <c r="D88" s="4" t="n">
        <v>40</v>
      </c>
      <c r="E88" s="4" t="s">
        <v>69</v>
      </c>
      <c r="F88" s="4" t="s">
        <v>305</v>
      </c>
      <c r="G88" s="4" t="s">
        <v>145</v>
      </c>
      <c r="H88" s="4" t="s">
        <v>72</v>
      </c>
      <c r="I88" s="4" t="s">
        <v>301</v>
      </c>
    </row>
    <row r="89" customFormat="false" ht="15" hidden="false" customHeight="false" outlineLevel="0" collapsed="false">
      <c r="A89" s="4" t="n">
        <v>10</v>
      </c>
      <c r="B89" s="4" t="s">
        <v>653</v>
      </c>
      <c r="C89" s="4" t="s">
        <v>306</v>
      </c>
      <c r="D89" s="4" t="n">
        <v>10</v>
      </c>
      <c r="E89" s="4" t="s">
        <v>69</v>
      </c>
      <c r="F89" s="4" t="s">
        <v>307</v>
      </c>
      <c r="G89" s="4" t="s">
        <v>308</v>
      </c>
      <c r="H89" s="4" t="s">
        <v>72</v>
      </c>
      <c r="I89" s="4" t="s">
        <v>301</v>
      </c>
    </row>
    <row r="90" customFormat="false" ht="15" hidden="false" customHeight="false" outlineLevel="0" collapsed="false">
      <c r="A90" s="4" t="n">
        <v>10</v>
      </c>
      <c r="B90" s="4" t="s">
        <v>653</v>
      </c>
      <c r="C90" s="4" t="s">
        <v>223</v>
      </c>
      <c r="D90" s="4" t="n">
        <v>100</v>
      </c>
      <c r="E90" s="4" t="s">
        <v>69</v>
      </c>
      <c r="F90" s="4" t="s">
        <v>309</v>
      </c>
      <c r="G90" s="4" t="s">
        <v>191</v>
      </c>
      <c r="H90" s="4" t="s">
        <v>94</v>
      </c>
      <c r="I90" s="4" t="s">
        <v>301</v>
      </c>
    </row>
    <row r="91" customFormat="false" ht="15" hidden="false" customHeight="false" outlineLevel="0" collapsed="false">
      <c r="A91" s="4" t="n">
        <v>10</v>
      </c>
      <c r="B91" s="4" t="s">
        <v>653</v>
      </c>
      <c r="C91" s="4" t="s">
        <v>98</v>
      </c>
      <c r="D91" s="4" t="n">
        <v>1</v>
      </c>
      <c r="E91" s="4" t="s">
        <v>69</v>
      </c>
      <c r="F91" s="4"/>
      <c r="G91" s="4" t="s">
        <v>97</v>
      </c>
      <c r="H91" s="4" t="s">
        <v>79</v>
      </c>
      <c r="I91" s="4" t="s">
        <v>301</v>
      </c>
    </row>
    <row r="92" customFormat="false" ht="15" hidden="false" customHeight="false" outlineLevel="0" collapsed="false">
      <c r="A92" s="4" t="n">
        <v>10</v>
      </c>
      <c r="B92" s="4" t="s">
        <v>653</v>
      </c>
      <c r="C92" s="4" t="s">
        <v>95</v>
      </c>
      <c r="D92" s="4" t="n">
        <v>0</v>
      </c>
      <c r="E92" s="4" t="s">
        <v>69</v>
      </c>
      <c r="F92" s="4" t="s">
        <v>310</v>
      </c>
      <c r="G92" s="4" t="s">
        <v>97</v>
      </c>
      <c r="H92" s="4" t="s">
        <v>79</v>
      </c>
      <c r="I92" s="4" t="s">
        <v>301</v>
      </c>
    </row>
    <row r="93" customFormat="false" ht="15" hidden="false" customHeight="false" outlineLevel="0" collapsed="false">
      <c r="A93" s="4" t="n">
        <v>11</v>
      </c>
      <c r="B93" s="4" t="s">
        <v>654</v>
      </c>
      <c r="C93" s="4" t="s">
        <v>321</v>
      </c>
      <c r="D93" s="4" t="n">
        <v>250</v>
      </c>
      <c r="E93" s="4" t="s">
        <v>69</v>
      </c>
      <c r="F93" s="4" t="s">
        <v>322</v>
      </c>
      <c r="G93" s="4" t="s">
        <v>323</v>
      </c>
      <c r="H93" s="4" t="s">
        <v>72</v>
      </c>
      <c r="I93" s="4" t="s">
        <v>320</v>
      </c>
    </row>
    <row r="94" customFormat="false" ht="15" hidden="false" customHeight="false" outlineLevel="0" collapsed="false">
      <c r="A94" s="4" t="n">
        <v>11</v>
      </c>
      <c r="B94" s="4" t="s">
        <v>654</v>
      </c>
      <c r="C94" s="4" t="s">
        <v>324</v>
      </c>
      <c r="D94" s="4" t="n">
        <v>30</v>
      </c>
      <c r="E94" s="4" t="s">
        <v>69</v>
      </c>
      <c r="F94" s="4" t="s">
        <v>211</v>
      </c>
      <c r="G94" s="4" t="s">
        <v>119</v>
      </c>
      <c r="H94" s="4" t="s">
        <v>72</v>
      </c>
      <c r="I94" s="4" t="s">
        <v>320</v>
      </c>
    </row>
    <row r="95" customFormat="false" ht="15" hidden="false" customHeight="false" outlineLevel="0" collapsed="false">
      <c r="A95" s="4" t="n">
        <v>11</v>
      </c>
      <c r="B95" s="4" t="s">
        <v>654</v>
      </c>
      <c r="C95" s="4" t="s">
        <v>168</v>
      </c>
      <c r="D95" s="4" t="n">
        <v>10</v>
      </c>
      <c r="E95" s="4" t="s">
        <v>74</v>
      </c>
      <c r="F95" s="4" t="s">
        <v>169</v>
      </c>
      <c r="G95" s="4" t="s">
        <v>90</v>
      </c>
      <c r="H95" s="4" t="s">
        <v>72</v>
      </c>
      <c r="I95" s="4" t="s">
        <v>320</v>
      </c>
    </row>
    <row r="96" customFormat="false" ht="15" hidden="false" customHeight="false" outlineLevel="0" collapsed="false">
      <c r="A96" s="4" t="n">
        <v>11</v>
      </c>
      <c r="B96" s="4" t="s">
        <v>654</v>
      </c>
      <c r="C96" s="4" t="s">
        <v>325</v>
      </c>
      <c r="D96" s="4" t="n">
        <v>40</v>
      </c>
      <c r="E96" s="4" t="s">
        <v>69</v>
      </c>
      <c r="F96" s="4" t="s">
        <v>326</v>
      </c>
      <c r="G96" s="4" t="s">
        <v>285</v>
      </c>
      <c r="H96" s="4" t="s">
        <v>72</v>
      </c>
      <c r="I96" s="4" t="s">
        <v>320</v>
      </c>
    </row>
    <row r="97" customFormat="false" ht="15" hidden="false" customHeight="false" outlineLevel="0" collapsed="false">
      <c r="A97" s="4" t="n">
        <v>11</v>
      </c>
      <c r="B97" s="4" t="s">
        <v>654</v>
      </c>
      <c r="C97" s="4" t="s">
        <v>327</v>
      </c>
      <c r="D97" s="4" t="n">
        <v>100</v>
      </c>
      <c r="E97" s="4" t="s">
        <v>69</v>
      </c>
      <c r="F97" s="4" t="s">
        <v>328</v>
      </c>
      <c r="G97" s="4" t="s">
        <v>167</v>
      </c>
      <c r="H97" s="4" t="s">
        <v>72</v>
      </c>
      <c r="I97" s="4" t="s">
        <v>320</v>
      </c>
    </row>
    <row r="98" customFormat="false" ht="15" hidden="false" customHeight="false" outlineLevel="0" collapsed="false">
      <c r="A98" s="4" t="n">
        <v>11</v>
      </c>
      <c r="B98" s="4" t="s">
        <v>654</v>
      </c>
      <c r="C98" s="4" t="s">
        <v>212</v>
      </c>
      <c r="D98" s="4" t="n">
        <v>3</v>
      </c>
      <c r="E98" s="4" t="s">
        <v>69</v>
      </c>
      <c r="F98" s="4" t="s">
        <v>213</v>
      </c>
      <c r="G98" s="4" t="s">
        <v>214</v>
      </c>
      <c r="H98" s="4" t="s">
        <v>72</v>
      </c>
      <c r="I98" s="4" t="s">
        <v>320</v>
      </c>
    </row>
    <row r="99" customFormat="false" ht="15" hidden="false" customHeight="false" outlineLevel="0" collapsed="false">
      <c r="A99" s="4" t="n">
        <v>11</v>
      </c>
      <c r="B99" s="4" t="s">
        <v>654</v>
      </c>
      <c r="C99" s="4" t="s">
        <v>222</v>
      </c>
      <c r="D99" s="4" t="n">
        <v>1</v>
      </c>
      <c r="E99" s="4" t="s">
        <v>69</v>
      </c>
      <c r="F99" s="4" t="s">
        <v>96</v>
      </c>
      <c r="G99" s="4" t="s">
        <v>178</v>
      </c>
      <c r="H99" s="4" t="s">
        <v>79</v>
      </c>
      <c r="I99" s="4" t="s">
        <v>320</v>
      </c>
    </row>
    <row r="100" customFormat="false" ht="15" hidden="false" customHeight="false" outlineLevel="0" collapsed="false">
      <c r="A100" s="4" t="n">
        <v>11</v>
      </c>
      <c r="B100" s="4" t="s">
        <v>654</v>
      </c>
      <c r="C100" s="4" t="s">
        <v>329</v>
      </c>
      <c r="D100" s="4" t="n">
        <v>1</v>
      </c>
      <c r="E100" s="4" t="s">
        <v>69</v>
      </c>
      <c r="F100" s="4" t="s">
        <v>330</v>
      </c>
      <c r="G100" s="4" t="s">
        <v>331</v>
      </c>
      <c r="H100" s="4" t="s">
        <v>79</v>
      </c>
      <c r="I100" s="4" t="s">
        <v>320</v>
      </c>
    </row>
    <row r="101" customFormat="false" ht="15" hidden="false" customHeight="false" outlineLevel="0" collapsed="false">
      <c r="A101" s="4" t="n">
        <v>11</v>
      </c>
      <c r="B101" s="4" t="s">
        <v>654</v>
      </c>
      <c r="C101" s="4" t="s">
        <v>332</v>
      </c>
      <c r="D101" s="4" t="n">
        <v>1</v>
      </c>
      <c r="E101" s="4" t="s">
        <v>69</v>
      </c>
      <c r="F101" s="4" t="s">
        <v>330</v>
      </c>
      <c r="G101" s="4" t="s">
        <v>333</v>
      </c>
      <c r="H101" s="4" t="s">
        <v>79</v>
      </c>
      <c r="I101" s="4" t="s">
        <v>320</v>
      </c>
    </row>
    <row r="102" customFormat="false" ht="15" hidden="false" customHeight="false" outlineLevel="0" collapsed="false">
      <c r="A102" s="4" t="n">
        <v>11</v>
      </c>
      <c r="B102" s="4" t="s">
        <v>654</v>
      </c>
      <c r="C102" s="4" t="s">
        <v>334</v>
      </c>
      <c r="D102" s="4" t="n">
        <v>1</v>
      </c>
      <c r="E102" s="4" t="s">
        <v>69</v>
      </c>
      <c r="F102" s="4" t="s">
        <v>330</v>
      </c>
      <c r="G102" s="4" t="s">
        <v>335</v>
      </c>
      <c r="H102" s="4" t="s">
        <v>79</v>
      </c>
      <c r="I102" s="4" t="s">
        <v>320</v>
      </c>
    </row>
    <row r="103" customFormat="false" ht="15" hidden="false" customHeight="false" outlineLevel="0" collapsed="false">
      <c r="A103" s="4" t="n">
        <v>11</v>
      </c>
      <c r="B103" s="4" t="s">
        <v>654</v>
      </c>
      <c r="C103" s="4" t="s">
        <v>336</v>
      </c>
      <c r="D103" s="4" t="n">
        <v>0.5</v>
      </c>
      <c r="E103" s="4" t="s">
        <v>69</v>
      </c>
      <c r="F103" s="4" t="s">
        <v>96</v>
      </c>
      <c r="G103" s="4" t="s">
        <v>337</v>
      </c>
      <c r="H103" s="4" t="s">
        <v>79</v>
      </c>
      <c r="I103" s="4" t="s">
        <v>320</v>
      </c>
    </row>
    <row r="104" customFormat="false" ht="15" hidden="false" customHeight="false" outlineLevel="0" collapsed="false">
      <c r="A104" s="4" t="n">
        <v>11</v>
      </c>
      <c r="B104" s="4" t="s">
        <v>654</v>
      </c>
      <c r="C104" s="4" t="s">
        <v>338</v>
      </c>
      <c r="D104" s="4" t="n">
        <v>0.5</v>
      </c>
      <c r="E104" s="4" t="s">
        <v>69</v>
      </c>
      <c r="F104" s="4" t="s">
        <v>339</v>
      </c>
      <c r="G104" s="4" t="s">
        <v>340</v>
      </c>
      <c r="H104" s="4" t="s">
        <v>79</v>
      </c>
      <c r="I104" s="4" t="s">
        <v>320</v>
      </c>
    </row>
    <row r="105" customFormat="false" ht="15" hidden="false" customHeight="false" outlineLevel="0" collapsed="false">
      <c r="A105" s="4" t="n">
        <v>11</v>
      </c>
      <c r="B105" s="4" t="s">
        <v>654</v>
      </c>
      <c r="C105" s="4" t="s">
        <v>341</v>
      </c>
      <c r="D105" s="4" t="n">
        <v>50</v>
      </c>
      <c r="E105" s="4" t="s">
        <v>74</v>
      </c>
      <c r="F105" s="4" t="s">
        <v>342</v>
      </c>
      <c r="G105" s="4" t="s">
        <v>126</v>
      </c>
      <c r="H105" s="4" t="s">
        <v>72</v>
      </c>
      <c r="I105" s="4" t="s">
        <v>320</v>
      </c>
    </row>
    <row r="106" customFormat="false" ht="15" hidden="false" customHeight="false" outlineLevel="0" collapsed="false">
      <c r="A106" s="4" t="n">
        <v>11</v>
      </c>
      <c r="B106" s="4" t="s">
        <v>654</v>
      </c>
      <c r="C106" s="4" t="s">
        <v>174</v>
      </c>
      <c r="D106" s="4" t="n">
        <v>30</v>
      </c>
      <c r="E106" s="4" t="s">
        <v>74</v>
      </c>
      <c r="F106" s="4" t="s">
        <v>343</v>
      </c>
      <c r="G106" s="4" t="s">
        <v>174</v>
      </c>
      <c r="H106" s="4" t="s">
        <v>72</v>
      </c>
      <c r="I106" s="4" t="s">
        <v>320</v>
      </c>
    </row>
    <row r="107" customFormat="false" ht="15" hidden="false" customHeight="false" outlineLevel="0" collapsed="false">
      <c r="A107" s="4" t="n">
        <v>11</v>
      </c>
      <c r="B107" s="4" t="s">
        <v>654</v>
      </c>
      <c r="C107" s="4" t="s">
        <v>344</v>
      </c>
      <c r="D107" s="4" t="n">
        <v>15</v>
      </c>
      <c r="E107" s="4" t="s">
        <v>69</v>
      </c>
      <c r="F107" s="4" t="s">
        <v>345</v>
      </c>
      <c r="G107" s="4" t="s">
        <v>269</v>
      </c>
      <c r="H107" s="4" t="s">
        <v>72</v>
      </c>
      <c r="I107" s="4" t="s">
        <v>320</v>
      </c>
    </row>
    <row r="108" customFormat="false" ht="15" hidden="false" customHeight="false" outlineLevel="0" collapsed="false">
      <c r="A108" s="4" t="n">
        <v>11</v>
      </c>
      <c r="B108" s="4" t="s">
        <v>654</v>
      </c>
      <c r="C108" s="4" t="s">
        <v>95</v>
      </c>
      <c r="D108" s="4" t="n">
        <v>1</v>
      </c>
      <c r="E108" s="4" t="s">
        <v>69</v>
      </c>
      <c r="F108" s="4"/>
      <c r="G108" s="4" t="s">
        <v>97</v>
      </c>
      <c r="H108" s="4" t="s">
        <v>79</v>
      </c>
      <c r="I108" s="4" t="s">
        <v>320</v>
      </c>
    </row>
    <row r="109" customFormat="false" ht="15" hidden="false" customHeight="false" outlineLevel="0" collapsed="false">
      <c r="A109" s="4" t="n">
        <v>11</v>
      </c>
      <c r="B109" s="4" t="s">
        <v>654</v>
      </c>
      <c r="C109" s="4" t="s">
        <v>98</v>
      </c>
      <c r="D109" s="4" t="n">
        <v>0.5</v>
      </c>
      <c r="E109" s="4" t="s">
        <v>69</v>
      </c>
      <c r="F109" s="4"/>
      <c r="G109" s="4" t="s">
        <v>97</v>
      </c>
      <c r="H109" s="4" t="s">
        <v>79</v>
      </c>
      <c r="I109" s="4" t="s">
        <v>320</v>
      </c>
    </row>
    <row r="110" customFormat="false" ht="15" hidden="false" customHeight="false" outlineLevel="0" collapsed="false">
      <c r="A110" s="4" t="n">
        <v>12</v>
      </c>
      <c r="B110" s="4" t="s">
        <v>655</v>
      </c>
      <c r="C110" s="4" t="s">
        <v>359</v>
      </c>
      <c r="D110" s="4" t="n">
        <v>250</v>
      </c>
      <c r="E110" s="4" t="s">
        <v>69</v>
      </c>
      <c r="F110" s="4" t="s">
        <v>360</v>
      </c>
      <c r="G110" s="4" t="s">
        <v>323</v>
      </c>
      <c r="H110" s="4" t="s">
        <v>72</v>
      </c>
      <c r="I110" s="4" t="s">
        <v>358</v>
      </c>
    </row>
    <row r="111" customFormat="false" ht="15" hidden="false" customHeight="false" outlineLevel="0" collapsed="false">
      <c r="A111" s="4" t="n">
        <v>12</v>
      </c>
      <c r="B111" s="4" t="s">
        <v>655</v>
      </c>
      <c r="C111" s="4" t="s">
        <v>361</v>
      </c>
      <c r="D111" s="4" t="n">
        <v>60</v>
      </c>
      <c r="E111" s="4" t="s">
        <v>69</v>
      </c>
      <c r="F111" s="4" t="s">
        <v>362</v>
      </c>
      <c r="G111" s="4" t="s">
        <v>361</v>
      </c>
      <c r="H111" s="4" t="s">
        <v>72</v>
      </c>
      <c r="I111" s="4" t="s">
        <v>358</v>
      </c>
    </row>
    <row r="112" customFormat="false" ht="15" hidden="false" customHeight="false" outlineLevel="0" collapsed="false">
      <c r="A112" s="4" t="n">
        <v>12</v>
      </c>
      <c r="B112" s="4" t="s">
        <v>655</v>
      </c>
      <c r="C112" s="4" t="s">
        <v>363</v>
      </c>
      <c r="D112" s="4" t="n">
        <v>80</v>
      </c>
      <c r="E112" s="4" t="s">
        <v>74</v>
      </c>
      <c r="F112" s="4" t="s">
        <v>364</v>
      </c>
      <c r="G112" s="4" t="s">
        <v>167</v>
      </c>
      <c r="H112" s="4" t="s">
        <v>72</v>
      </c>
      <c r="I112" s="4" t="s">
        <v>358</v>
      </c>
    </row>
    <row r="113" customFormat="false" ht="15" hidden="false" customHeight="false" outlineLevel="0" collapsed="false">
      <c r="A113" s="4" t="n">
        <v>12</v>
      </c>
      <c r="B113" s="4" t="s">
        <v>655</v>
      </c>
      <c r="C113" s="4" t="s">
        <v>365</v>
      </c>
      <c r="D113" s="4" t="n">
        <v>40</v>
      </c>
      <c r="E113" s="4" t="s">
        <v>69</v>
      </c>
      <c r="F113" s="4" t="s">
        <v>245</v>
      </c>
      <c r="G113" s="4" t="s">
        <v>124</v>
      </c>
      <c r="H113" s="4" t="s">
        <v>72</v>
      </c>
      <c r="I113" s="4" t="s">
        <v>358</v>
      </c>
    </row>
    <row r="114" customFormat="false" ht="15" hidden="false" customHeight="false" outlineLevel="0" collapsed="false">
      <c r="A114" s="4" t="n">
        <v>12</v>
      </c>
      <c r="B114" s="4" t="s">
        <v>655</v>
      </c>
      <c r="C114" s="4" t="s">
        <v>366</v>
      </c>
      <c r="D114" s="4" t="n">
        <v>2</v>
      </c>
      <c r="E114" s="4" t="s">
        <v>69</v>
      </c>
      <c r="F114" s="4" t="s">
        <v>367</v>
      </c>
      <c r="G114" s="4" t="s">
        <v>335</v>
      </c>
      <c r="H114" s="4" t="s">
        <v>72</v>
      </c>
      <c r="I114" s="4" t="s">
        <v>358</v>
      </c>
    </row>
    <row r="115" customFormat="false" ht="15" hidden="false" customHeight="false" outlineLevel="0" collapsed="false">
      <c r="A115" s="4" t="n">
        <v>12</v>
      </c>
      <c r="B115" s="4" t="s">
        <v>655</v>
      </c>
      <c r="C115" s="4" t="s">
        <v>174</v>
      </c>
      <c r="D115" s="4" t="n">
        <v>30</v>
      </c>
      <c r="E115" s="4" t="s">
        <v>74</v>
      </c>
      <c r="F115" s="4" t="s">
        <v>123</v>
      </c>
      <c r="G115" s="4" t="s">
        <v>174</v>
      </c>
      <c r="H115" s="4" t="s">
        <v>72</v>
      </c>
      <c r="I115" s="4" t="s">
        <v>358</v>
      </c>
    </row>
    <row r="116" customFormat="false" ht="15" hidden="false" customHeight="false" outlineLevel="0" collapsed="false">
      <c r="A116" s="4" t="n">
        <v>12</v>
      </c>
      <c r="B116" s="4" t="s">
        <v>655</v>
      </c>
      <c r="C116" s="4" t="s">
        <v>168</v>
      </c>
      <c r="D116" s="4" t="n">
        <v>8</v>
      </c>
      <c r="E116" s="4" t="s">
        <v>74</v>
      </c>
      <c r="F116" s="4" t="s">
        <v>249</v>
      </c>
      <c r="G116" s="4" t="s">
        <v>90</v>
      </c>
      <c r="H116" s="4" t="s">
        <v>79</v>
      </c>
      <c r="I116" s="4" t="s">
        <v>358</v>
      </c>
    </row>
    <row r="117" customFormat="false" ht="15" hidden="false" customHeight="false" outlineLevel="0" collapsed="false">
      <c r="A117" s="4" t="n">
        <v>12</v>
      </c>
      <c r="B117" s="4" t="s">
        <v>655</v>
      </c>
      <c r="C117" s="4" t="s">
        <v>95</v>
      </c>
      <c r="D117" s="4" t="n">
        <v>0.5</v>
      </c>
      <c r="E117" s="4" t="s">
        <v>69</v>
      </c>
      <c r="F117" s="4"/>
      <c r="G117" s="4" t="s">
        <v>97</v>
      </c>
      <c r="H117" s="4" t="s">
        <v>79</v>
      </c>
      <c r="I117" s="4" t="s">
        <v>358</v>
      </c>
    </row>
    <row r="118" customFormat="false" ht="15" hidden="false" customHeight="false" outlineLevel="0" collapsed="false">
      <c r="A118" s="4" t="n">
        <v>12</v>
      </c>
      <c r="B118" s="4" t="s">
        <v>655</v>
      </c>
      <c r="C118" s="4" t="s">
        <v>98</v>
      </c>
      <c r="D118" s="4" t="n">
        <v>0.5</v>
      </c>
      <c r="E118" s="4" t="s">
        <v>69</v>
      </c>
      <c r="F118" s="4"/>
      <c r="G118" s="4" t="s">
        <v>97</v>
      </c>
      <c r="H118" s="4" t="s">
        <v>79</v>
      </c>
      <c r="I118" s="4" t="s">
        <v>358</v>
      </c>
    </row>
    <row r="119" customFormat="false" ht="15" hidden="false" customHeight="false" outlineLevel="0" collapsed="false">
      <c r="A119" s="4" t="n">
        <v>13</v>
      </c>
      <c r="B119" s="4" t="s">
        <v>656</v>
      </c>
      <c r="C119" s="4" t="s">
        <v>378</v>
      </c>
      <c r="D119" s="4" t="n">
        <v>200</v>
      </c>
      <c r="E119" s="4" t="s">
        <v>69</v>
      </c>
      <c r="F119" s="4" t="s">
        <v>379</v>
      </c>
      <c r="G119" s="4" t="s">
        <v>380</v>
      </c>
      <c r="H119" s="4" t="s">
        <v>72</v>
      </c>
      <c r="I119" s="4" t="s">
        <v>377</v>
      </c>
    </row>
    <row r="120" customFormat="false" ht="15" hidden="false" customHeight="false" outlineLevel="0" collapsed="false">
      <c r="A120" s="4" t="n">
        <v>13</v>
      </c>
      <c r="B120" s="4" t="s">
        <v>656</v>
      </c>
      <c r="C120" s="4" t="s">
        <v>381</v>
      </c>
      <c r="D120" s="4" t="n">
        <v>75</v>
      </c>
      <c r="E120" s="4" t="s">
        <v>69</v>
      </c>
      <c r="F120" s="4" t="s">
        <v>382</v>
      </c>
      <c r="G120" s="4" t="s">
        <v>217</v>
      </c>
      <c r="H120" s="4" t="s">
        <v>72</v>
      </c>
      <c r="I120" s="4" t="s">
        <v>377</v>
      </c>
    </row>
    <row r="121" customFormat="false" ht="15" hidden="false" customHeight="false" outlineLevel="0" collapsed="false">
      <c r="A121" s="4" t="n">
        <v>13</v>
      </c>
      <c r="B121" s="4" t="s">
        <v>656</v>
      </c>
      <c r="C121" s="4" t="s">
        <v>383</v>
      </c>
      <c r="D121" s="4" t="n">
        <v>30</v>
      </c>
      <c r="E121" s="4" t="s">
        <v>69</v>
      </c>
      <c r="F121" s="4" t="s">
        <v>211</v>
      </c>
      <c r="G121" s="4" t="s">
        <v>119</v>
      </c>
      <c r="H121" s="4" t="s">
        <v>72</v>
      </c>
      <c r="I121" s="4" t="s">
        <v>377</v>
      </c>
    </row>
    <row r="122" customFormat="false" ht="15" hidden="false" customHeight="false" outlineLevel="0" collapsed="false">
      <c r="A122" s="4" t="n">
        <v>13</v>
      </c>
      <c r="B122" s="4" t="s">
        <v>656</v>
      </c>
      <c r="C122" s="4" t="s">
        <v>212</v>
      </c>
      <c r="D122" s="4" t="n">
        <v>3</v>
      </c>
      <c r="E122" s="4" t="s">
        <v>69</v>
      </c>
      <c r="F122" s="4" t="s">
        <v>384</v>
      </c>
      <c r="G122" s="4" t="s">
        <v>214</v>
      </c>
      <c r="H122" s="4" t="s">
        <v>72</v>
      </c>
      <c r="I122" s="4" t="s">
        <v>377</v>
      </c>
    </row>
    <row r="123" customFormat="false" ht="15" hidden="false" customHeight="false" outlineLevel="0" collapsed="false">
      <c r="A123" s="4" t="n">
        <v>13</v>
      </c>
      <c r="B123" s="4" t="s">
        <v>656</v>
      </c>
      <c r="C123" s="4" t="s">
        <v>143</v>
      </c>
      <c r="D123" s="4" t="n">
        <v>60</v>
      </c>
      <c r="E123" s="4" t="s">
        <v>69</v>
      </c>
      <c r="F123" s="4" t="s">
        <v>144</v>
      </c>
      <c r="G123" s="4" t="s">
        <v>145</v>
      </c>
      <c r="H123" s="4" t="s">
        <v>72</v>
      </c>
      <c r="I123" s="4" t="s">
        <v>377</v>
      </c>
    </row>
    <row r="124" customFormat="false" ht="15" hidden="false" customHeight="false" outlineLevel="0" collapsed="false">
      <c r="A124" s="4" t="n">
        <v>13</v>
      </c>
      <c r="B124" s="4" t="s">
        <v>656</v>
      </c>
      <c r="C124" s="4" t="s">
        <v>308</v>
      </c>
      <c r="D124" s="4" t="n">
        <v>5</v>
      </c>
      <c r="E124" s="4" t="s">
        <v>69</v>
      </c>
      <c r="F124" s="4" t="s">
        <v>385</v>
      </c>
      <c r="G124" s="4" t="s">
        <v>308</v>
      </c>
      <c r="H124" s="4" t="s">
        <v>72</v>
      </c>
      <c r="I124" s="4" t="s">
        <v>377</v>
      </c>
    </row>
    <row r="125" customFormat="false" ht="15" hidden="false" customHeight="false" outlineLevel="0" collapsed="false">
      <c r="A125" s="4" t="n">
        <v>13</v>
      </c>
      <c r="B125" s="4" t="s">
        <v>656</v>
      </c>
      <c r="C125" s="4" t="s">
        <v>168</v>
      </c>
      <c r="D125" s="4" t="n">
        <v>5</v>
      </c>
      <c r="E125" s="4" t="s">
        <v>74</v>
      </c>
      <c r="F125" s="4" t="s">
        <v>81</v>
      </c>
      <c r="G125" s="4" t="s">
        <v>90</v>
      </c>
      <c r="H125" s="4" t="s">
        <v>72</v>
      </c>
      <c r="I125" s="4" t="s">
        <v>377</v>
      </c>
    </row>
    <row r="126" customFormat="false" ht="15" hidden="false" customHeight="false" outlineLevel="0" collapsed="false">
      <c r="A126" s="4" t="n">
        <v>13</v>
      </c>
      <c r="B126" s="4" t="s">
        <v>656</v>
      </c>
      <c r="C126" s="4" t="s">
        <v>267</v>
      </c>
      <c r="D126" s="4" t="n">
        <v>15</v>
      </c>
      <c r="E126" s="4" t="s">
        <v>69</v>
      </c>
      <c r="F126" s="4" t="s">
        <v>345</v>
      </c>
      <c r="G126" s="4" t="s">
        <v>269</v>
      </c>
      <c r="H126" s="4" t="s">
        <v>72</v>
      </c>
      <c r="I126" s="4" t="s">
        <v>377</v>
      </c>
    </row>
    <row r="127" customFormat="false" ht="15" hidden="false" customHeight="false" outlineLevel="0" collapsed="false">
      <c r="A127" s="4" t="n">
        <v>13</v>
      </c>
      <c r="B127" s="4" t="s">
        <v>656</v>
      </c>
      <c r="C127" s="4" t="s">
        <v>304</v>
      </c>
      <c r="D127" s="4" t="n">
        <v>3</v>
      </c>
      <c r="E127" s="4" t="s">
        <v>69</v>
      </c>
      <c r="F127" s="4" t="s">
        <v>386</v>
      </c>
      <c r="G127" s="4" t="s">
        <v>304</v>
      </c>
      <c r="H127" s="4" t="s">
        <v>72</v>
      </c>
      <c r="I127" s="4" t="s">
        <v>377</v>
      </c>
    </row>
    <row r="128" customFormat="false" ht="15" hidden="false" customHeight="false" outlineLevel="0" collapsed="false">
      <c r="A128" s="4" t="n">
        <v>13</v>
      </c>
      <c r="B128" s="4" t="s">
        <v>656</v>
      </c>
      <c r="C128" s="4" t="s">
        <v>387</v>
      </c>
      <c r="D128" s="4" t="n">
        <v>2</v>
      </c>
      <c r="E128" s="4" t="s">
        <v>69</v>
      </c>
      <c r="F128" s="4" t="s">
        <v>251</v>
      </c>
      <c r="G128" s="4" t="s">
        <v>87</v>
      </c>
      <c r="H128" s="4" t="s">
        <v>79</v>
      </c>
      <c r="I128" s="4" t="s">
        <v>377</v>
      </c>
    </row>
    <row r="129" customFormat="false" ht="15" hidden="false" customHeight="false" outlineLevel="0" collapsed="false">
      <c r="A129" s="4" t="n">
        <v>13</v>
      </c>
      <c r="B129" s="4" t="s">
        <v>656</v>
      </c>
      <c r="C129" s="4" t="s">
        <v>95</v>
      </c>
      <c r="D129" s="4" t="n">
        <v>1</v>
      </c>
      <c r="E129" s="4" t="s">
        <v>69</v>
      </c>
      <c r="F129" s="4"/>
      <c r="G129" s="4" t="s">
        <v>97</v>
      </c>
      <c r="H129" s="4" t="s">
        <v>79</v>
      </c>
      <c r="I129" s="4" t="s">
        <v>377</v>
      </c>
    </row>
    <row r="130" customFormat="false" ht="15" hidden="false" customHeight="false" outlineLevel="0" collapsed="false">
      <c r="A130" s="4" t="n">
        <v>13</v>
      </c>
      <c r="B130" s="4" t="s">
        <v>656</v>
      </c>
      <c r="C130" s="4" t="s">
        <v>98</v>
      </c>
      <c r="D130" s="4" t="n">
        <v>0.5</v>
      </c>
      <c r="E130" s="4" t="s">
        <v>69</v>
      </c>
      <c r="F130" s="4"/>
      <c r="G130" s="4" t="s">
        <v>97</v>
      </c>
      <c r="H130" s="4" t="s">
        <v>79</v>
      </c>
      <c r="I130" s="4" t="s">
        <v>377</v>
      </c>
    </row>
    <row r="131" customFormat="false" ht="15" hidden="false" customHeight="false" outlineLevel="0" collapsed="false">
      <c r="A131" s="4" t="n">
        <v>14</v>
      </c>
      <c r="B131" s="4" t="s">
        <v>657</v>
      </c>
      <c r="C131" s="4" t="s">
        <v>400</v>
      </c>
      <c r="D131" s="4" t="n">
        <v>110</v>
      </c>
      <c r="E131" s="4" t="s">
        <v>69</v>
      </c>
      <c r="F131" s="4" t="s">
        <v>401</v>
      </c>
      <c r="G131" s="4" t="s">
        <v>402</v>
      </c>
      <c r="H131" s="4" t="s">
        <v>72</v>
      </c>
      <c r="I131" s="4"/>
    </row>
    <row r="132" customFormat="false" ht="15" hidden="false" customHeight="false" outlineLevel="0" collapsed="false">
      <c r="A132" s="4" t="n">
        <v>14</v>
      </c>
      <c r="B132" s="4" t="s">
        <v>657</v>
      </c>
      <c r="C132" s="4" t="s">
        <v>120</v>
      </c>
      <c r="D132" s="4" t="n">
        <v>75</v>
      </c>
      <c r="E132" s="4" t="s">
        <v>69</v>
      </c>
      <c r="F132" s="4" t="s">
        <v>403</v>
      </c>
      <c r="G132" s="4" t="s">
        <v>120</v>
      </c>
      <c r="H132" s="4" t="s">
        <v>72</v>
      </c>
      <c r="I132" s="4"/>
    </row>
    <row r="133" customFormat="false" ht="15" hidden="false" customHeight="false" outlineLevel="0" collapsed="false">
      <c r="A133" s="4" t="n">
        <v>14</v>
      </c>
      <c r="B133" s="4" t="s">
        <v>657</v>
      </c>
      <c r="C133" s="4" t="s">
        <v>404</v>
      </c>
      <c r="D133" s="4" t="n">
        <v>125</v>
      </c>
      <c r="E133" s="4" t="s">
        <v>69</v>
      </c>
      <c r="F133" s="4" t="s">
        <v>405</v>
      </c>
      <c r="G133" s="4" t="s">
        <v>217</v>
      </c>
      <c r="H133" s="4" t="s">
        <v>72</v>
      </c>
      <c r="I133" s="4"/>
    </row>
    <row r="134" customFormat="false" ht="15" hidden="false" customHeight="false" outlineLevel="0" collapsed="false">
      <c r="A134" s="4" t="n">
        <v>14</v>
      </c>
      <c r="B134" s="4" t="s">
        <v>657</v>
      </c>
      <c r="C134" s="4" t="s">
        <v>117</v>
      </c>
      <c r="D134" s="4" t="n">
        <v>50</v>
      </c>
      <c r="E134" s="4" t="s">
        <v>69</v>
      </c>
      <c r="F134" s="4" t="s">
        <v>197</v>
      </c>
      <c r="G134" s="4" t="s">
        <v>119</v>
      </c>
      <c r="H134" s="4" t="s">
        <v>72</v>
      </c>
      <c r="I134" s="4"/>
    </row>
    <row r="135" customFormat="false" ht="15" hidden="false" customHeight="false" outlineLevel="0" collapsed="false">
      <c r="A135" s="4" t="n">
        <v>14</v>
      </c>
      <c r="B135" s="4" t="s">
        <v>657</v>
      </c>
      <c r="C135" s="4" t="s">
        <v>125</v>
      </c>
      <c r="D135" s="4" t="n">
        <v>80</v>
      </c>
      <c r="E135" s="4" t="s">
        <v>74</v>
      </c>
      <c r="F135" s="4" t="s">
        <v>406</v>
      </c>
      <c r="G135" s="4" t="s">
        <v>126</v>
      </c>
      <c r="H135" s="4" t="s">
        <v>72</v>
      </c>
      <c r="I135" s="4"/>
    </row>
    <row r="136" customFormat="false" ht="15" hidden="false" customHeight="false" outlineLevel="0" collapsed="false">
      <c r="A136" s="4" t="n">
        <v>14</v>
      </c>
      <c r="B136" s="4" t="s">
        <v>657</v>
      </c>
      <c r="C136" s="4" t="s">
        <v>287</v>
      </c>
      <c r="D136" s="4" t="n">
        <v>5</v>
      </c>
      <c r="E136" s="4" t="s">
        <v>69</v>
      </c>
      <c r="F136" s="4" t="s">
        <v>407</v>
      </c>
      <c r="G136" s="4" t="s">
        <v>221</v>
      </c>
      <c r="H136" s="4" t="s">
        <v>72</v>
      </c>
      <c r="I136" s="4"/>
    </row>
    <row r="137" customFormat="false" ht="15" hidden="false" customHeight="false" outlineLevel="0" collapsed="false">
      <c r="A137" s="4" t="n">
        <v>14</v>
      </c>
      <c r="B137" s="4" t="s">
        <v>657</v>
      </c>
      <c r="C137" s="4" t="s">
        <v>174</v>
      </c>
      <c r="D137" s="4" t="n">
        <v>375</v>
      </c>
      <c r="E137" s="4" t="s">
        <v>74</v>
      </c>
      <c r="F137" s="4" t="s">
        <v>408</v>
      </c>
      <c r="G137" s="4" t="s">
        <v>174</v>
      </c>
      <c r="H137" s="4" t="s">
        <v>72</v>
      </c>
      <c r="I137" s="4"/>
    </row>
    <row r="138" customFormat="false" ht="15" hidden="false" customHeight="false" outlineLevel="0" collapsed="false">
      <c r="A138" s="4" t="n">
        <v>14</v>
      </c>
      <c r="B138" s="4" t="s">
        <v>657</v>
      </c>
      <c r="C138" s="4" t="s">
        <v>168</v>
      </c>
      <c r="D138" s="4" t="n">
        <v>10</v>
      </c>
      <c r="E138" s="4" t="s">
        <v>74</v>
      </c>
      <c r="F138" s="4" t="s">
        <v>169</v>
      </c>
      <c r="G138" s="4" t="s">
        <v>90</v>
      </c>
      <c r="H138" s="4" t="s">
        <v>72</v>
      </c>
      <c r="I138" s="4"/>
    </row>
    <row r="139" customFormat="false" ht="15" hidden="false" customHeight="false" outlineLevel="0" collapsed="false">
      <c r="A139" s="4" t="n">
        <v>14</v>
      </c>
      <c r="B139" s="4" t="s">
        <v>657</v>
      </c>
      <c r="C139" s="4" t="s">
        <v>409</v>
      </c>
      <c r="D139" s="4" t="n">
        <v>15</v>
      </c>
      <c r="E139" s="4" t="s">
        <v>69</v>
      </c>
      <c r="F139" s="4" t="s">
        <v>345</v>
      </c>
      <c r="G139" s="4" t="s">
        <v>269</v>
      </c>
      <c r="H139" s="4" t="s">
        <v>72</v>
      </c>
      <c r="I139" s="4"/>
    </row>
    <row r="140" customFormat="false" ht="15" hidden="false" customHeight="false" outlineLevel="0" collapsed="false">
      <c r="A140" s="4" t="n">
        <v>14</v>
      </c>
      <c r="B140" s="4" t="s">
        <v>657</v>
      </c>
      <c r="C140" s="4" t="s">
        <v>98</v>
      </c>
      <c r="D140" s="4" t="n">
        <v>0.5</v>
      </c>
      <c r="E140" s="4" t="s">
        <v>69</v>
      </c>
      <c r="F140" s="4"/>
      <c r="G140" s="4" t="s">
        <v>97</v>
      </c>
      <c r="H140" s="4" t="s">
        <v>79</v>
      </c>
      <c r="I140" s="4"/>
    </row>
    <row r="141" customFormat="false" ht="15" hidden="false" customHeight="false" outlineLevel="0" collapsed="false">
      <c r="A141" s="4" t="n">
        <v>14</v>
      </c>
      <c r="B141" s="4" t="s">
        <v>657</v>
      </c>
      <c r="C141" s="4" t="s">
        <v>95</v>
      </c>
      <c r="D141" s="4" t="n">
        <v>0</v>
      </c>
      <c r="E141" s="4" t="s">
        <v>69</v>
      </c>
      <c r="F141" s="4" t="s">
        <v>410</v>
      </c>
      <c r="G141" s="4" t="s">
        <v>97</v>
      </c>
      <c r="H141" s="4" t="s">
        <v>79</v>
      </c>
      <c r="I141" s="4"/>
    </row>
    <row r="142" customFormat="false" ht="15" hidden="false" customHeight="false" outlineLevel="0" collapsed="false">
      <c r="A142" s="4" t="n">
        <v>15</v>
      </c>
      <c r="B142" s="4" t="s">
        <v>658</v>
      </c>
      <c r="C142" s="4" t="s">
        <v>422</v>
      </c>
      <c r="D142" s="4" t="n">
        <v>140</v>
      </c>
      <c r="E142" s="4" t="s">
        <v>69</v>
      </c>
      <c r="F142" s="4" t="s">
        <v>423</v>
      </c>
      <c r="G142" s="4" t="s">
        <v>424</v>
      </c>
      <c r="H142" s="4" t="s">
        <v>72</v>
      </c>
      <c r="I142" s="4"/>
    </row>
    <row r="143" customFormat="false" ht="15" hidden="false" customHeight="false" outlineLevel="0" collapsed="false">
      <c r="A143" s="4" t="n">
        <v>15</v>
      </c>
      <c r="B143" s="4" t="s">
        <v>658</v>
      </c>
      <c r="C143" s="4" t="s">
        <v>425</v>
      </c>
      <c r="D143" s="4" t="n">
        <v>200</v>
      </c>
      <c r="E143" s="4" t="s">
        <v>69</v>
      </c>
      <c r="F143" s="4" t="s">
        <v>426</v>
      </c>
      <c r="G143" s="4" t="s">
        <v>427</v>
      </c>
      <c r="H143" s="4" t="s">
        <v>72</v>
      </c>
      <c r="I143" s="4"/>
    </row>
    <row r="144" customFormat="false" ht="15" hidden="false" customHeight="false" outlineLevel="0" collapsed="false">
      <c r="A144" s="4" t="n">
        <v>15</v>
      </c>
      <c r="B144" s="4" t="s">
        <v>658</v>
      </c>
      <c r="C144" s="4" t="s">
        <v>117</v>
      </c>
      <c r="D144" s="4" t="n">
        <v>40</v>
      </c>
      <c r="E144" s="4" t="s">
        <v>69</v>
      </c>
      <c r="F144" s="4" t="s">
        <v>211</v>
      </c>
      <c r="G144" s="4" t="s">
        <v>119</v>
      </c>
      <c r="H144" s="4" t="s">
        <v>72</v>
      </c>
      <c r="I144" s="4"/>
    </row>
    <row r="145" customFormat="false" ht="15" hidden="false" customHeight="false" outlineLevel="0" collapsed="false">
      <c r="A145" s="4" t="n">
        <v>15</v>
      </c>
      <c r="B145" s="4" t="s">
        <v>658</v>
      </c>
      <c r="C145" s="4" t="s">
        <v>428</v>
      </c>
      <c r="D145" s="4" t="n">
        <v>50</v>
      </c>
      <c r="E145" s="4" t="s">
        <v>69</v>
      </c>
      <c r="F145" s="4" t="s">
        <v>429</v>
      </c>
      <c r="G145" s="4" t="s">
        <v>430</v>
      </c>
      <c r="H145" s="4" t="s">
        <v>72</v>
      </c>
      <c r="I145" s="4"/>
    </row>
    <row r="146" customFormat="false" ht="15" hidden="false" customHeight="false" outlineLevel="0" collapsed="false">
      <c r="A146" s="4" t="n">
        <v>15</v>
      </c>
      <c r="B146" s="4" t="s">
        <v>658</v>
      </c>
      <c r="C146" s="4" t="s">
        <v>431</v>
      </c>
      <c r="D146" s="4" t="n">
        <v>40</v>
      </c>
      <c r="E146" s="4" t="s">
        <v>69</v>
      </c>
      <c r="F146" s="4" t="s">
        <v>432</v>
      </c>
      <c r="G146" s="4" t="s">
        <v>120</v>
      </c>
      <c r="H146" s="4" t="s">
        <v>72</v>
      </c>
      <c r="I146" s="4"/>
    </row>
    <row r="147" customFormat="false" ht="15" hidden="false" customHeight="false" outlineLevel="0" collapsed="false">
      <c r="A147" s="4" t="n">
        <v>15</v>
      </c>
      <c r="B147" s="4" t="s">
        <v>658</v>
      </c>
      <c r="C147" s="4" t="s">
        <v>433</v>
      </c>
      <c r="D147" s="4" t="n">
        <v>5</v>
      </c>
      <c r="E147" s="4" t="s">
        <v>69</v>
      </c>
      <c r="F147" s="4" t="s">
        <v>81</v>
      </c>
      <c r="G147" s="4" t="s">
        <v>308</v>
      </c>
      <c r="H147" s="4" t="s">
        <v>72</v>
      </c>
      <c r="I147" s="4"/>
    </row>
    <row r="148" customFormat="false" ht="15" hidden="false" customHeight="false" outlineLevel="0" collapsed="false">
      <c r="A148" s="4" t="n">
        <v>15</v>
      </c>
      <c r="B148" s="4" t="s">
        <v>658</v>
      </c>
      <c r="C148" s="4" t="s">
        <v>98</v>
      </c>
      <c r="D148" s="4" t="n">
        <v>0.5</v>
      </c>
      <c r="E148" s="4" t="s">
        <v>69</v>
      </c>
      <c r="F148" s="4"/>
      <c r="G148" s="4" t="s">
        <v>97</v>
      </c>
      <c r="H148" s="4" t="s">
        <v>79</v>
      </c>
      <c r="I148" s="4"/>
    </row>
    <row r="149" customFormat="false" ht="15" hidden="false" customHeight="false" outlineLevel="0" collapsed="false">
      <c r="A149" s="4" t="n">
        <v>15</v>
      </c>
      <c r="B149" s="4" t="s">
        <v>658</v>
      </c>
      <c r="C149" s="4" t="s">
        <v>95</v>
      </c>
      <c r="D149" s="4" t="n">
        <v>0.5</v>
      </c>
      <c r="E149" s="4" t="s">
        <v>69</v>
      </c>
      <c r="F149" s="4" t="s">
        <v>434</v>
      </c>
      <c r="G149" s="4" t="s">
        <v>97</v>
      </c>
      <c r="H149" s="4" t="s">
        <v>79</v>
      </c>
      <c r="I149" s="4"/>
    </row>
    <row r="150" customFormat="false" ht="15" hidden="false" customHeight="false" outlineLevel="0" collapsed="false">
      <c r="A150" s="4" t="n">
        <v>16</v>
      </c>
      <c r="B150" s="4" t="s">
        <v>659</v>
      </c>
      <c r="C150" s="4" t="s">
        <v>447</v>
      </c>
      <c r="D150" s="4" t="n">
        <v>120</v>
      </c>
      <c r="E150" s="4" t="s">
        <v>69</v>
      </c>
      <c r="F150" s="4" t="s">
        <v>448</v>
      </c>
      <c r="G150" s="4" t="s">
        <v>71</v>
      </c>
      <c r="H150" s="4" t="s">
        <v>72</v>
      </c>
      <c r="I150" s="4" t="s">
        <v>446</v>
      </c>
    </row>
    <row r="151" customFormat="false" ht="15" hidden="false" customHeight="false" outlineLevel="0" collapsed="false">
      <c r="A151" s="4" t="n">
        <v>16</v>
      </c>
      <c r="B151" s="4" t="s">
        <v>659</v>
      </c>
      <c r="C151" s="4" t="s">
        <v>428</v>
      </c>
      <c r="D151" s="4" t="n">
        <v>100</v>
      </c>
      <c r="E151" s="4" t="s">
        <v>69</v>
      </c>
      <c r="F151" s="4" t="s">
        <v>449</v>
      </c>
      <c r="G151" s="4" t="s">
        <v>430</v>
      </c>
      <c r="H151" s="4" t="s">
        <v>72</v>
      </c>
      <c r="I151" s="4" t="s">
        <v>446</v>
      </c>
    </row>
    <row r="152" customFormat="false" ht="15" hidden="false" customHeight="false" outlineLevel="0" collapsed="false">
      <c r="A152" s="4" t="n">
        <v>16</v>
      </c>
      <c r="B152" s="4" t="s">
        <v>659</v>
      </c>
      <c r="C152" s="4" t="s">
        <v>450</v>
      </c>
      <c r="D152" s="4" t="n">
        <v>100</v>
      </c>
      <c r="E152" s="4" t="s">
        <v>69</v>
      </c>
      <c r="F152" s="4" t="s">
        <v>451</v>
      </c>
      <c r="G152" s="4" t="s">
        <v>452</v>
      </c>
      <c r="H152" s="4" t="s">
        <v>72</v>
      </c>
      <c r="I152" s="4" t="s">
        <v>446</v>
      </c>
    </row>
    <row r="153" customFormat="false" ht="15" hidden="false" customHeight="false" outlineLevel="0" collapsed="false">
      <c r="A153" s="4" t="n">
        <v>16</v>
      </c>
      <c r="B153" s="4" t="s">
        <v>659</v>
      </c>
      <c r="C153" s="4" t="s">
        <v>117</v>
      </c>
      <c r="D153" s="4" t="n">
        <v>30</v>
      </c>
      <c r="E153" s="4" t="s">
        <v>69</v>
      </c>
      <c r="F153" s="4" t="s">
        <v>453</v>
      </c>
      <c r="G153" s="4" t="s">
        <v>119</v>
      </c>
      <c r="H153" s="4" t="s">
        <v>72</v>
      </c>
      <c r="I153" s="4" t="s">
        <v>446</v>
      </c>
    </row>
    <row r="154" customFormat="false" ht="15" hidden="false" customHeight="false" outlineLevel="0" collapsed="false">
      <c r="A154" s="4" t="n">
        <v>16</v>
      </c>
      <c r="B154" s="4" t="s">
        <v>659</v>
      </c>
      <c r="C154" s="4" t="s">
        <v>454</v>
      </c>
      <c r="D154" s="4" t="n">
        <v>7</v>
      </c>
      <c r="E154" s="4" t="s">
        <v>69</v>
      </c>
      <c r="F154" s="4" t="s">
        <v>455</v>
      </c>
      <c r="G154" s="4" t="s">
        <v>456</v>
      </c>
      <c r="H154" s="4" t="s">
        <v>79</v>
      </c>
      <c r="I154" s="4" t="s">
        <v>446</v>
      </c>
    </row>
    <row r="155" customFormat="false" ht="15" hidden="false" customHeight="false" outlineLevel="0" collapsed="false">
      <c r="A155" s="4" t="n">
        <v>16</v>
      </c>
      <c r="B155" s="4" t="s">
        <v>659</v>
      </c>
      <c r="C155" s="4" t="s">
        <v>457</v>
      </c>
      <c r="D155" s="4" t="n">
        <v>5</v>
      </c>
      <c r="E155" s="4" t="s">
        <v>69</v>
      </c>
      <c r="F155" s="4" t="s">
        <v>407</v>
      </c>
      <c r="G155" s="4" t="s">
        <v>221</v>
      </c>
      <c r="H155" s="4" t="s">
        <v>72</v>
      </c>
      <c r="I155" s="4" t="s">
        <v>446</v>
      </c>
    </row>
    <row r="156" customFormat="false" ht="15" hidden="false" customHeight="false" outlineLevel="0" collapsed="false">
      <c r="A156" s="4" t="n">
        <v>16</v>
      </c>
      <c r="B156" s="4" t="s">
        <v>659</v>
      </c>
      <c r="C156" s="4" t="s">
        <v>458</v>
      </c>
      <c r="D156" s="4" t="n">
        <v>100</v>
      </c>
      <c r="E156" s="4" t="s">
        <v>74</v>
      </c>
      <c r="F156" s="4" t="s">
        <v>459</v>
      </c>
      <c r="G156" s="4" t="s">
        <v>174</v>
      </c>
      <c r="H156" s="4" t="s">
        <v>72</v>
      </c>
      <c r="I156" s="4" t="s">
        <v>446</v>
      </c>
    </row>
    <row r="157" customFormat="false" ht="15" hidden="false" customHeight="false" outlineLevel="0" collapsed="false">
      <c r="A157" s="4" t="n">
        <v>16</v>
      </c>
      <c r="B157" s="4" t="s">
        <v>659</v>
      </c>
      <c r="C157" s="4" t="s">
        <v>168</v>
      </c>
      <c r="D157" s="4" t="n">
        <v>15</v>
      </c>
      <c r="E157" s="4" t="s">
        <v>74</v>
      </c>
      <c r="F157" s="4" t="s">
        <v>89</v>
      </c>
      <c r="G157" s="4" t="s">
        <v>90</v>
      </c>
      <c r="H157" s="4" t="s">
        <v>72</v>
      </c>
      <c r="I157" s="4" t="s">
        <v>446</v>
      </c>
    </row>
    <row r="158" customFormat="false" ht="15" hidden="false" customHeight="false" outlineLevel="0" collapsed="false">
      <c r="A158" s="4" t="n">
        <v>16</v>
      </c>
      <c r="B158" s="4" t="s">
        <v>659</v>
      </c>
      <c r="C158" s="4" t="s">
        <v>460</v>
      </c>
      <c r="D158" s="4" t="n">
        <v>100</v>
      </c>
      <c r="E158" s="4" t="s">
        <v>69</v>
      </c>
      <c r="F158" s="4" t="s">
        <v>461</v>
      </c>
      <c r="G158" s="4" t="s">
        <v>462</v>
      </c>
      <c r="H158" s="4" t="s">
        <v>72</v>
      </c>
      <c r="I158" s="4" t="s">
        <v>446</v>
      </c>
    </row>
    <row r="159" customFormat="false" ht="15" hidden="false" customHeight="false" outlineLevel="0" collapsed="false">
      <c r="A159" s="4" t="n">
        <v>16</v>
      </c>
      <c r="B159" s="4" t="s">
        <v>659</v>
      </c>
      <c r="C159" s="4" t="s">
        <v>463</v>
      </c>
      <c r="D159" s="4" t="n">
        <v>120</v>
      </c>
      <c r="E159" s="4" t="s">
        <v>74</v>
      </c>
      <c r="F159" s="4" t="s">
        <v>464</v>
      </c>
      <c r="G159" s="4" t="s">
        <v>174</v>
      </c>
      <c r="H159" s="4" t="s">
        <v>72</v>
      </c>
      <c r="I159" s="4" t="s">
        <v>446</v>
      </c>
    </row>
    <row r="160" customFormat="false" ht="15" hidden="false" customHeight="false" outlineLevel="0" collapsed="false">
      <c r="A160" s="4" t="n">
        <v>16</v>
      </c>
      <c r="B160" s="4" t="s">
        <v>659</v>
      </c>
      <c r="C160" s="4" t="s">
        <v>98</v>
      </c>
      <c r="D160" s="4" t="n">
        <v>0.5</v>
      </c>
      <c r="E160" s="4" t="s">
        <v>69</v>
      </c>
      <c r="F160" s="4"/>
      <c r="G160" s="4" t="s">
        <v>97</v>
      </c>
      <c r="H160" s="4" t="s">
        <v>79</v>
      </c>
      <c r="I160" s="4" t="s">
        <v>446</v>
      </c>
    </row>
    <row r="161" customFormat="false" ht="15" hidden="false" customHeight="false" outlineLevel="0" collapsed="false">
      <c r="A161" s="4" t="n">
        <v>16</v>
      </c>
      <c r="B161" s="4" t="s">
        <v>659</v>
      </c>
      <c r="C161" s="4" t="s">
        <v>95</v>
      </c>
      <c r="D161" s="4" t="n">
        <v>0.5</v>
      </c>
      <c r="E161" s="4" t="s">
        <v>69</v>
      </c>
      <c r="F161" s="4"/>
      <c r="G161" s="4" t="s">
        <v>97</v>
      </c>
      <c r="H161" s="4" t="s">
        <v>79</v>
      </c>
      <c r="I161" s="4" t="s">
        <v>446</v>
      </c>
    </row>
    <row r="162" customFormat="false" ht="15" hidden="false" customHeight="false" outlineLevel="0" collapsed="false">
      <c r="A162" s="4" t="n">
        <v>17</v>
      </c>
      <c r="B162" s="4" t="s">
        <v>660</v>
      </c>
      <c r="C162" s="4" t="s">
        <v>477</v>
      </c>
      <c r="D162" s="4" t="n">
        <v>150</v>
      </c>
      <c r="E162" s="4" t="s">
        <v>69</v>
      </c>
      <c r="F162" s="4" t="s">
        <v>70</v>
      </c>
      <c r="G162" s="4" t="s">
        <v>71</v>
      </c>
      <c r="H162" s="4" t="s">
        <v>72</v>
      </c>
      <c r="I162" s="4" t="s">
        <v>476</v>
      </c>
    </row>
    <row r="163" customFormat="false" ht="15" hidden="false" customHeight="false" outlineLevel="0" collapsed="false">
      <c r="A163" s="4" t="n">
        <v>17</v>
      </c>
      <c r="B163" s="4" t="s">
        <v>660</v>
      </c>
      <c r="C163" s="4" t="s">
        <v>478</v>
      </c>
      <c r="D163" s="4" t="n">
        <v>200</v>
      </c>
      <c r="E163" s="4" t="s">
        <v>69</v>
      </c>
      <c r="F163" s="4" t="s">
        <v>479</v>
      </c>
      <c r="G163" s="4" t="s">
        <v>167</v>
      </c>
      <c r="H163" s="4" t="s">
        <v>72</v>
      </c>
      <c r="I163" s="4" t="s">
        <v>476</v>
      </c>
    </row>
    <row r="164" customFormat="false" ht="15" hidden="false" customHeight="false" outlineLevel="0" collapsed="false">
      <c r="A164" s="4" t="n">
        <v>17</v>
      </c>
      <c r="B164" s="4" t="s">
        <v>660</v>
      </c>
      <c r="C164" s="4" t="s">
        <v>285</v>
      </c>
      <c r="D164" s="4" t="n">
        <v>40</v>
      </c>
      <c r="E164" s="4" t="s">
        <v>69</v>
      </c>
      <c r="F164" s="4" t="s">
        <v>326</v>
      </c>
      <c r="G164" s="4" t="s">
        <v>285</v>
      </c>
      <c r="H164" s="4" t="s">
        <v>72</v>
      </c>
      <c r="I164" s="4" t="s">
        <v>476</v>
      </c>
    </row>
    <row r="165" customFormat="false" ht="15" hidden="false" customHeight="false" outlineLevel="0" collapsed="false">
      <c r="A165" s="4" t="n">
        <v>17</v>
      </c>
      <c r="B165" s="4" t="s">
        <v>660</v>
      </c>
      <c r="C165" s="4" t="s">
        <v>283</v>
      </c>
      <c r="D165" s="4" t="n">
        <v>20</v>
      </c>
      <c r="E165" s="4" t="s">
        <v>69</v>
      </c>
      <c r="F165" s="4" t="s">
        <v>480</v>
      </c>
      <c r="G165" s="4" t="s">
        <v>285</v>
      </c>
      <c r="H165" s="4" t="s">
        <v>72</v>
      </c>
      <c r="I165" s="4" t="s">
        <v>476</v>
      </c>
    </row>
    <row r="166" customFormat="false" ht="15" hidden="false" customHeight="false" outlineLevel="0" collapsed="false">
      <c r="A166" s="4" t="n">
        <v>17</v>
      </c>
      <c r="B166" s="4" t="s">
        <v>660</v>
      </c>
      <c r="C166" s="4" t="s">
        <v>117</v>
      </c>
      <c r="D166" s="4" t="n">
        <v>30</v>
      </c>
      <c r="E166" s="4" t="s">
        <v>69</v>
      </c>
      <c r="F166" s="4" t="s">
        <v>453</v>
      </c>
      <c r="G166" s="4" t="s">
        <v>119</v>
      </c>
      <c r="H166" s="4" t="s">
        <v>72</v>
      </c>
      <c r="I166" s="4" t="s">
        <v>476</v>
      </c>
    </row>
    <row r="167" customFormat="false" ht="15" hidden="false" customHeight="false" outlineLevel="0" collapsed="false">
      <c r="A167" s="4" t="n">
        <v>17</v>
      </c>
      <c r="B167" s="4" t="s">
        <v>660</v>
      </c>
      <c r="C167" s="4" t="s">
        <v>212</v>
      </c>
      <c r="D167" s="4" t="n">
        <v>3</v>
      </c>
      <c r="E167" s="4" t="s">
        <v>69</v>
      </c>
      <c r="F167" s="4" t="s">
        <v>384</v>
      </c>
      <c r="G167" s="4" t="s">
        <v>214</v>
      </c>
      <c r="H167" s="4" t="s">
        <v>72</v>
      </c>
      <c r="I167" s="4" t="s">
        <v>476</v>
      </c>
    </row>
    <row r="168" customFormat="false" ht="15" hidden="false" customHeight="false" outlineLevel="0" collapsed="false">
      <c r="A168" s="4" t="n">
        <v>17</v>
      </c>
      <c r="B168" s="4" t="s">
        <v>660</v>
      </c>
      <c r="C168" s="4" t="s">
        <v>481</v>
      </c>
      <c r="D168" s="4" t="n">
        <v>1</v>
      </c>
      <c r="E168" s="4" t="s">
        <v>69</v>
      </c>
      <c r="F168" s="4" t="s">
        <v>330</v>
      </c>
      <c r="G168" s="4" t="s">
        <v>331</v>
      </c>
      <c r="H168" s="4" t="s">
        <v>79</v>
      </c>
      <c r="I168" s="4" t="s">
        <v>476</v>
      </c>
    </row>
    <row r="169" customFormat="false" ht="15" hidden="false" customHeight="false" outlineLevel="0" collapsed="false">
      <c r="A169" s="4" t="n">
        <v>17</v>
      </c>
      <c r="B169" s="4" t="s">
        <v>660</v>
      </c>
      <c r="C169" s="4" t="s">
        <v>91</v>
      </c>
      <c r="D169" s="4" t="n">
        <v>90</v>
      </c>
      <c r="E169" s="4" t="s">
        <v>69</v>
      </c>
      <c r="F169" s="4" t="s">
        <v>286</v>
      </c>
      <c r="G169" s="4" t="s">
        <v>93</v>
      </c>
      <c r="H169" s="4" t="s">
        <v>72</v>
      </c>
      <c r="I169" s="4" t="s">
        <v>476</v>
      </c>
    </row>
    <row r="170" customFormat="false" ht="15" hidden="false" customHeight="false" outlineLevel="0" collapsed="false">
      <c r="A170" s="4" t="n">
        <v>17</v>
      </c>
      <c r="B170" s="4" t="s">
        <v>660</v>
      </c>
      <c r="C170" s="4" t="s">
        <v>308</v>
      </c>
      <c r="D170" s="4" t="n">
        <v>10</v>
      </c>
      <c r="E170" s="4" t="s">
        <v>69</v>
      </c>
      <c r="F170" s="4" t="s">
        <v>482</v>
      </c>
      <c r="G170" s="4" t="s">
        <v>308</v>
      </c>
      <c r="H170" s="4" t="s">
        <v>72</v>
      </c>
      <c r="I170" s="4" t="s">
        <v>476</v>
      </c>
    </row>
    <row r="171" customFormat="false" ht="15" hidden="false" customHeight="false" outlineLevel="0" collapsed="false">
      <c r="A171" s="4" t="n">
        <v>17</v>
      </c>
      <c r="B171" s="4" t="s">
        <v>660</v>
      </c>
      <c r="C171" s="4" t="s">
        <v>168</v>
      </c>
      <c r="D171" s="4" t="n">
        <v>10</v>
      </c>
      <c r="E171" s="4" t="s">
        <v>74</v>
      </c>
      <c r="F171" s="4" t="s">
        <v>169</v>
      </c>
      <c r="G171" s="4" t="s">
        <v>90</v>
      </c>
      <c r="H171" s="4" t="s">
        <v>72</v>
      </c>
      <c r="I171" s="4" t="s">
        <v>476</v>
      </c>
    </row>
    <row r="172" customFormat="false" ht="15" hidden="false" customHeight="false" outlineLevel="0" collapsed="false">
      <c r="A172" s="4" t="n">
        <v>17</v>
      </c>
      <c r="B172" s="4" t="s">
        <v>660</v>
      </c>
      <c r="C172" s="4" t="s">
        <v>95</v>
      </c>
      <c r="D172" s="4" t="n">
        <v>1</v>
      </c>
      <c r="E172" s="4" t="s">
        <v>69</v>
      </c>
      <c r="F172" s="4"/>
      <c r="G172" s="4" t="s">
        <v>97</v>
      </c>
      <c r="H172" s="4" t="s">
        <v>79</v>
      </c>
      <c r="I172" s="4" t="s">
        <v>476</v>
      </c>
    </row>
    <row r="173" customFormat="false" ht="15" hidden="false" customHeight="false" outlineLevel="0" collapsed="false">
      <c r="A173" s="4" t="n">
        <v>17</v>
      </c>
      <c r="B173" s="4" t="s">
        <v>660</v>
      </c>
      <c r="C173" s="4" t="s">
        <v>98</v>
      </c>
      <c r="D173" s="4" t="n">
        <v>0.5</v>
      </c>
      <c r="E173" s="4" t="s">
        <v>69</v>
      </c>
      <c r="F173" s="4"/>
      <c r="G173" s="4" t="s">
        <v>97</v>
      </c>
      <c r="H173" s="4" t="s">
        <v>79</v>
      </c>
      <c r="I173" s="4" t="s">
        <v>476</v>
      </c>
    </row>
    <row r="174" customFormat="false" ht="15" hidden="false" customHeight="false" outlineLevel="0" collapsed="false">
      <c r="A174" s="4" t="n">
        <v>18</v>
      </c>
      <c r="B174" s="4" t="s">
        <v>661</v>
      </c>
      <c r="C174" s="4" t="s">
        <v>196</v>
      </c>
      <c r="D174" s="4" t="n">
        <v>110</v>
      </c>
      <c r="E174" s="4" t="s">
        <v>69</v>
      </c>
      <c r="F174" s="4" t="s">
        <v>495</v>
      </c>
      <c r="G174" s="4" t="s">
        <v>196</v>
      </c>
      <c r="H174" s="4" t="s">
        <v>72</v>
      </c>
      <c r="I174" s="4" t="s">
        <v>494</v>
      </c>
    </row>
    <row r="175" customFormat="false" ht="15" hidden="false" customHeight="false" outlineLevel="0" collapsed="false">
      <c r="A175" s="4" t="n">
        <v>18</v>
      </c>
      <c r="B175" s="4" t="s">
        <v>661</v>
      </c>
      <c r="C175" s="4" t="s">
        <v>496</v>
      </c>
      <c r="D175" s="4" t="n">
        <v>40</v>
      </c>
      <c r="E175" s="4" t="s">
        <v>69</v>
      </c>
      <c r="F175" s="4" t="s">
        <v>497</v>
      </c>
      <c r="G175" s="4" t="s">
        <v>498</v>
      </c>
      <c r="H175" s="4" t="s">
        <v>72</v>
      </c>
      <c r="I175" s="4" t="s">
        <v>494</v>
      </c>
    </row>
    <row r="176" customFormat="false" ht="15" hidden="false" customHeight="false" outlineLevel="0" collapsed="false">
      <c r="A176" s="4" t="n">
        <v>18</v>
      </c>
      <c r="B176" s="4" t="s">
        <v>661</v>
      </c>
      <c r="C176" s="4" t="s">
        <v>499</v>
      </c>
      <c r="D176" s="4" t="n">
        <v>130</v>
      </c>
      <c r="E176" s="4" t="s">
        <v>69</v>
      </c>
      <c r="F176" s="4" t="s">
        <v>500</v>
      </c>
      <c r="G176" s="4" t="s">
        <v>501</v>
      </c>
      <c r="H176" s="4" t="s">
        <v>72</v>
      </c>
      <c r="I176" s="4" t="s">
        <v>494</v>
      </c>
    </row>
    <row r="177" customFormat="false" ht="15" hidden="false" customHeight="false" outlineLevel="0" collapsed="false">
      <c r="A177" s="4" t="n">
        <v>18</v>
      </c>
      <c r="B177" s="4" t="s">
        <v>661</v>
      </c>
      <c r="C177" s="4" t="s">
        <v>285</v>
      </c>
      <c r="D177" s="4" t="n">
        <v>75</v>
      </c>
      <c r="E177" s="4" t="s">
        <v>69</v>
      </c>
      <c r="F177" s="4" t="s">
        <v>502</v>
      </c>
      <c r="G177" s="4" t="s">
        <v>285</v>
      </c>
      <c r="H177" s="4" t="s">
        <v>72</v>
      </c>
      <c r="I177" s="4" t="s">
        <v>494</v>
      </c>
    </row>
    <row r="178" customFormat="false" ht="15" hidden="false" customHeight="false" outlineLevel="0" collapsed="false">
      <c r="A178" s="4" t="n">
        <v>18</v>
      </c>
      <c r="B178" s="4" t="s">
        <v>661</v>
      </c>
      <c r="C178" s="4" t="s">
        <v>503</v>
      </c>
      <c r="D178" s="4" t="n">
        <v>100</v>
      </c>
      <c r="E178" s="4" t="s">
        <v>69</v>
      </c>
      <c r="F178" s="4" t="s">
        <v>328</v>
      </c>
      <c r="G178" s="4" t="s">
        <v>167</v>
      </c>
      <c r="H178" s="4" t="s">
        <v>72</v>
      </c>
      <c r="I178" s="4" t="s">
        <v>494</v>
      </c>
    </row>
    <row r="179" customFormat="false" ht="15" hidden="false" customHeight="false" outlineLevel="0" collapsed="false">
      <c r="A179" s="4" t="n">
        <v>18</v>
      </c>
      <c r="B179" s="4" t="s">
        <v>661</v>
      </c>
      <c r="C179" s="4" t="s">
        <v>383</v>
      </c>
      <c r="D179" s="4" t="n">
        <v>50</v>
      </c>
      <c r="E179" s="4" t="s">
        <v>69</v>
      </c>
      <c r="F179" s="4" t="s">
        <v>197</v>
      </c>
      <c r="G179" s="4" t="s">
        <v>119</v>
      </c>
      <c r="H179" s="4" t="s">
        <v>72</v>
      </c>
      <c r="I179" s="4" t="s">
        <v>494</v>
      </c>
    </row>
    <row r="180" customFormat="false" ht="15" hidden="false" customHeight="false" outlineLevel="0" collapsed="false">
      <c r="A180" s="4" t="n">
        <v>18</v>
      </c>
      <c r="B180" s="4" t="s">
        <v>661</v>
      </c>
      <c r="C180" s="4" t="s">
        <v>504</v>
      </c>
      <c r="D180" s="4" t="n">
        <v>0.5</v>
      </c>
      <c r="E180" s="4" t="s">
        <v>69</v>
      </c>
      <c r="F180" s="4" t="s">
        <v>96</v>
      </c>
      <c r="G180" s="4" t="s">
        <v>505</v>
      </c>
      <c r="H180" s="4" t="s">
        <v>79</v>
      </c>
      <c r="I180" s="4" t="s">
        <v>494</v>
      </c>
    </row>
    <row r="181" customFormat="false" ht="15" hidden="false" customHeight="false" outlineLevel="0" collapsed="false">
      <c r="A181" s="4" t="n">
        <v>18</v>
      </c>
      <c r="B181" s="4" t="s">
        <v>661</v>
      </c>
      <c r="C181" s="4" t="s">
        <v>332</v>
      </c>
      <c r="D181" s="4" t="n">
        <v>0.5</v>
      </c>
      <c r="E181" s="4" t="s">
        <v>69</v>
      </c>
      <c r="F181" s="4" t="s">
        <v>96</v>
      </c>
      <c r="G181" s="4" t="s">
        <v>333</v>
      </c>
      <c r="H181" s="4" t="s">
        <v>79</v>
      </c>
      <c r="I181" s="4" t="s">
        <v>494</v>
      </c>
    </row>
    <row r="182" customFormat="false" ht="15" hidden="false" customHeight="false" outlineLevel="0" collapsed="false">
      <c r="A182" s="4" t="n">
        <v>18</v>
      </c>
      <c r="B182" s="4" t="s">
        <v>661</v>
      </c>
      <c r="C182" s="4" t="s">
        <v>168</v>
      </c>
      <c r="D182" s="4" t="n">
        <v>8</v>
      </c>
      <c r="E182" s="4" t="s">
        <v>74</v>
      </c>
      <c r="F182" s="4" t="s">
        <v>249</v>
      </c>
      <c r="G182" s="4" t="s">
        <v>90</v>
      </c>
      <c r="H182" s="4" t="s">
        <v>79</v>
      </c>
      <c r="I182" s="4" t="s">
        <v>494</v>
      </c>
    </row>
    <row r="183" customFormat="false" ht="15" hidden="false" customHeight="false" outlineLevel="0" collapsed="false">
      <c r="A183" s="4" t="n">
        <v>18</v>
      </c>
      <c r="B183" s="4" t="s">
        <v>661</v>
      </c>
      <c r="C183" s="4" t="s">
        <v>506</v>
      </c>
      <c r="D183" s="4" t="n">
        <v>0.5</v>
      </c>
      <c r="E183" s="4" t="s">
        <v>69</v>
      </c>
      <c r="F183" s="4" t="s">
        <v>96</v>
      </c>
      <c r="G183" s="4" t="s">
        <v>506</v>
      </c>
      <c r="H183" s="4" t="s">
        <v>79</v>
      </c>
      <c r="I183" s="4" t="s">
        <v>494</v>
      </c>
    </row>
    <row r="184" customFormat="false" ht="15" hidden="false" customHeight="false" outlineLevel="0" collapsed="false">
      <c r="A184" s="4" t="n">
        <v>18</v>
      </c>
      <c r="B184" s="4" t="s">
        <v>661</v>
      </c>
      <c r="C184" s="4" t="s">
        <v>95</v>
      </c>
      <c r="D184" s="4" t="n">
        <v>0.5</v>
      </c>
      <c r="E184" s="4" t="s">
        <v>69</v>
      </c>
      <c r="F184" s="4"/>
      <c r="G184" s="4" t="s">
        <v>97</v>
      </c>
      <c r="H184" s="4" t="s">
        <v>79</v>
      </c>
      <c r="I184" s="4" t="s">
        <v>494</v>
      </c>
    </row>
    <row r="185" customFormat="false" ht="15" hidden="false" customHeight="false" outlineLevel="0" collapsed="false">
      <c r="A185" s="4" t="n">
        <v>18</v>
      </c>
      <c r="B185" s="4" t="s">
        <v>661</v>
      </c>
      <c r="C185" s="4" t="s">
        <v>98</v>
      </c>
      <c r="D185" s="4" t="n">
        <v>0.5</v>
      </c>
      <c r="E185" s="4" t="s">
        <v>69</v>
      </c>
      <c r="F185" s="4"/>
      <c r="G185" s="4" t="s">
        <v>97</v>
      </c>
      <c r="H185" s="4" t="s">
        <v>79</v>
      </c>
      <c r="I185" s="4" t="s">
        <v>494</v>
      </c>
    </row>
    <row r="186" customFormat="false" ht="15" hidden="false" customHeight="false" outlineLevel="0" collapsed="false">
      <c r="A186" s="4" t="n">
        <v>19</v>
      </c>
      <c r="B186" s="4" t="s">
        <v>662</v>
      </c>
      <c r="C186" s="4" t="s">
        <v>517</v>
      </c>
      <c r="D186" s="4" t="n">
        <v>120</v>
      </c>
      <c r="E186" s="4" t="s">
        <v>69</v>
      </c>
      <c r="F186" s="4" t="s">
        <v>147</v>
      </c>
      <c r="G186" s="4" t="s">
        <v>191</v>
      </c>
      <c r="H186" s="4" t="s">
        <v>72</v>
      </c>
      <c r="I186" s="4"/>
    </row>
    <row r="187" customFormat="false" ht="15" hidden="false" customHeight="false" outlineLevel="0" collapsed="false">
      <c r="A187" s="4" t="n">
        <v>19</v>
      </c>
      <c r="B187" s="4" t="s">
        <v>662</v>
      </c>
      <c r="C187" s="4" t="s">
        <v>120</v>
      </c>
      <c r="D187" s="4" t="n">
        <v>50</v>
      </c>
      <c r="E187" s="4" t="s">
        <v>69</v>
      </c>
      <c r="F187" s="4" t="s">
        <v>518</v>
      </c>
      <c r="G187" s="4" t="s">
        <v>120</v>
      </c>
      <c r="H187" s="4" t="s">
        <v>72</v>
      </c>
      <c r="I187" s="4"/>
    </row>
    <row r="188" customFormat="false" ht="15" hidden="false" customHeight="false" outlineLevel="0" collapsed="false">
      <c r="A188" s="4" t="n">
        <v>19</v>
      </c>
      <c r="B188" s="4" t="s">
        <v>662</v>
      </c>
      <c r="C188" s="4" t="s">
        <v>519</v>
      </c>
      <c r="D188" s="4" t="n">
        <v>75</v>
      </c>
      <c r="E188" s="4" t="s">
        <v>74</v>
      </c>
      <c r="F188" s="4" t="s">
        <v>520</v>
      </c>
      <c r="G188" s="4" t="s">
        <v>126</v>
      </c>
      <c r="H188" s="4" t="s">
        <v>72</v>
      </c>
      <c r="I188" s="4"/>
    </row>
    <row r="189" customFormat="false" ht="15" hidden="false" customHeight="false" outlineLevel="0" collapsed="false">
      <c r="A189" s="4" t="n">
        <v>19</v>
      </c>
      <c r="B189" s="4" t="s">
        <v>662</v>
      </c>
      <c r="C189" s="4" t="s">
        <v>521</v>
      </c>
      <c r="D189" s="4" t="n">
        <v>50</v>
      </c>
      <c r="E189" s="4" t="s">
        <v>69</v>
      </c>
      <c r="F189" s="4" t="s">
        <v>522</v>
      </c>
      <c r="G189" s="4" t="s">
        <v>523</v>
      </c>
      <c r="H189" s="4" t="s">
        <v>72</v>
      </c>
      <c r="I189" s="4"/>
    </row>
    <row r="190" customFormat="false" ht="15" hidden="false" customHeight="false" outlineLevel="0" collapsed="false">
      <c r="A190" s="4" t="n">
        <v>19</v>
      </c>
      <c r="B190" s="4" t="s">
        <v>662</v>
      </c>
      <c r="C190" s="4" t="s">
        <v>524</v>
      </c>
      <c r="D190" s="4" t="n">
        <v>15</v>
      </c>
      <c r="E190" s="4" t="s">
        <v>69</v>
      </c>
      <c r="F190" s="4" t="s">
        <v>525</v>
      </c>
      <c r="G190" s="4" t="s">
        <v>119</v>
      </c>
      <c r="H190" s="4" t="s">
        <v>72</v>
      </c>
      <c r="I190" s="4"/>
    </row>
    <row r="191" customFormat="false" ht="15" hidden="false" customHeight="false" outlineLevel="0" collapsed="false">
      <c r="A191" s="4" t="n">
        <v>19</v>
      </c>
      <c r="B191" s="4" t="s">
        <v>662</v>
      </c>
      <c r="C191" s="4" t="s">
        <v>526</v>
      </c>
      <c r="D191" s="4" t="n">
        <v>5</v>
      </c>
      <c r="E191" s="4" t="s">
        <v>69</v>
      </c>
      <c r="F191" s="4" t="s">
        <v>81</v>
      </c>
      <c r="G191" s="4" t="s">
        <v>526</v>
      </c>
      <c r="H191" s="4" t="s">
        <v>72</v>
      </c>
      <c r="I191" s="4"/>
    </row>
    <row r="192" customFormat="false" ht="15" hidden="false" customHeight="false" outlineLevel="0" collapsed="false">
      <c r="A192" s="4" t="n">
        <v>19</v>
      </c>
      <c r="B192" s="4" t="s">
        <v>662</v>
      </c>
      <c r="C192" s="4" t="s">
        <v>504</v>
      </c>
      <c r="D192" s="4" t="n">
        <v>0.5</v>
      </c>
      <c r="E192" s="4" t="s">
        <v>69</v>
      </c>
      <c r="F192" s="4" t="s">
        <v>96</v>
      </c>
      <c r="G192" s="4" t="s">
        <v>505</v>
      </c>
      <c r="H192" s="4" t="s">
        <v>79</v>
      </c>
      <c r="I192" s="4"/>
    </row>
    <row r="193" customFormat="false" ht="15" hidden="false" customHeight="false" outlineLevel="0" collapsed="false">
      <c r="A193" s="4" t="n">
        <v>19</v>
      </c>
      <c r="B193" s="4" t="s">
        <v>662</v>
      </c>
      <c r="C193" s="4" t="s">
        <v>95</v>
      </c>
      <c r="D193" s="4" t="n">
        <v>1</v>
      </c>
      <c r="E193" s="4" t="s">
        <v>69</v>
      </c>
      <c r="F193" s="4" t="s">
        <v>270</v>
      </c>
      <c r="G193" s="4" t="s">
        <v>97</v>
      </c>
      <c r="H193" s="4" t="s">
        <v>79</v>
      </c>
      <c r="I193" s="4"/>
    </row>
    <row r="194" customFormat="false" ht="15" hidden="false" customHeight="false" outlineLevel="0" collapsed="false">
      <c r="A194" s="4" t="n">
        <v>19</v>
      </c>
      <c r="B194" s="4" t="s">
        <v>662</v>
      </c>
      <c r="C194" s="4" t="s">
        <v>98</v>
      </c>
      <c r="D194" s="4" t="n">
        <v>0.5</v>
      </c>
      <c r="E194" s="4" t="s">
        <v>69</v>
      </c>
      <c r="F194" s="4"/>
      <c r="G194" s="4" t="s">
        <v>97</v>
      </c>
      <c r="H194" s="4" t="s">
        <v>79</v>
      </c>
      <c r="I194" s="4"/>
    </row>
    <row r="195" customFormat="false" ht="15" hidden="false" customHeight="false" outlineLevel="0" collapsed="false">
      <c r="A195" s="4" t="n">
        <v>20</v>
      </c>
      <c r="B195" s="4" t="s">
        <v>663</v>
      </c>
      <c r="C195" s="4" t="s">
        <v>537</v>
      </c>
      <c r="D195" s="4" t="n">
        <v>125</v>
      </c>
      <c r="E195" s="4" t="s">
        <v>69</v>
      </c>
      <c r="F195" s="4" t="s">
        <v>147</v>
      </c>
      <c r="G195" s="4" t="s">
        <v>191</v>
      </c>
      <c r="H195" s="4" t="s">
        <v>72</v>
      </c>
      <c r="I195" s="4"/>
    </row>
    <row r="196" customFormat="false" ht="15" hidden="false" customHeight="false" outlineLevel="0" collapsed="false">
      <c r="A196" s="4" t="n">
        <v>20</v>
      </c>
      <c r="B196" s="4" t="s">
        <v>663</v>
      </c>
      <c r="C196" s="4" t="s">
        <v>174</v>
      </c>
      <c r="D196" s="4" t="n">
        <v>300</v>
      </c>
      <c r="E196" s="4" t="s">
        <v>74</v>
      </c>
      <c r="F196" s="4" t="s">
        <v>538</v>
      </c>
      <c r="G196" s="4" t="s">
        <v>174</v>
      </c>
      <c r="H196" s="4" t="s">
        <v>72</v>
      </c>
      <c r="I196" s="4"/>
    </row>
    <row r="197" customFormat="false" ht="15" hidden="false" customHeight="false" outlineLevel="0" collapsed="false">
      <c r="A197" s="4" t="n">
        <v>20</v>
      </c>
      <c r="B197" s="4" t="s">
        <v>663</v>
      </c>
      <c r="C197" s="4" t="s">
        <v>361</v>
      </c>
      <c r="D197" s="4" t="n">
        <v>75</v>
      </c>
      <c r="E197" s="4" t="s">
        <v>69</v>
      </c>
      <c r="F197" s="4" t="s">
        <v>539</v>
      </c>
      <c r="G197" s="4" t="s">
        <v>361</v>
      </c>
      <c r="H197" s="4" t="s">
        <v>72</v>
      </c>
      <c r="I197" s="4"/>
    </row>
    <row r="198" customFormat="false" ht="15" hidden="false" customHeight="false" outlineLevel="0" collapsed="false">
      <c r="A198" s="4" t="n">
        <v>20</v>
      </c>
      <c r="B198" s="4" t="s">
        <v>663</v>
      </c>
      <c r="C198" s="4" t="s">
        <v>117</v>
      </c>
      <c r="D198" s="4" t="n">
        <v>50</v>
      </c>
      <c r="E198" s="4" t="s">
        <v>69</v>
      </c>
      <c r="F198" s="4" t="s">
        <v>197</v>
      </c>
      <c r="G198" s="4" t="s">
        <v>119</v>
      </c>
      <c r="H198" s="4" t="s">
        <v>72</v>
      </c>
      <c r="I198" s="4"/>
    </row>
    <row r="199" customFormat="false" ht="15" hidden="false" customHeight="false" outlineLevel="0" collapsed="false">
      <c r="A199" s="4" t="n">
        <v>20</v>
      </c>
      <c r="B199" s="4" t="s">
        <v>663</v>
      </c>
      <c r="C199" s="4" t="s">
        <v>212</v>
      </c>
      <c r="D199" s="4" t="n">
        <v>3</v>
      </c>
      <c r="E199" s="4" t="s">
        <v>69</v>
      </c>
      <c r="F199" s="4" t="s">
        <v>540</v>
      </c>
      <c r="G199" s="4" t="s">
        <v>214</v>
      </c>
      <c r="H199" s="4" t="s">
        <v>72</v>
      </c>
      <c r="I199" s="4"/>
    </row>
    <row r="200" customFormat="false" ht="15" hidden="false" customHeight="false" outlineLevel="0" collapsed="false">
      <c r="A200" s="4" t="n">
        <v>20</v>
      </c>
      <c r="B200" s="4" t="s">
        <v>663</v>
      </c>
      <c r="C200" s="4" t="s">
        <v>168</v>
      </c>
      <c r="D200" s="4" t="n">
        <v>8</v>
      </c>
      <c r="E200" s="4" t="s">
        <v>74</v>
      </c>
      <c r="F200" s="4" t="s">
        <v>249</v>
      </c>
      <c r="G200" s="4" t="s">
        <v>90</v>
      </c>
      <c r="H200" s="4" t="s">
        <v>72</v>
      </c>
      <c r="I200" s="4"/>
    </row>
    <row r="201" customFormat="false" ht="15" hidden="false" customHeight="false" outlineLevel="0" collapsed="false">
      <c r="A201" s="4" t="n">
        <v>20</v>
      </c>
      <c r="B201" s="4" t="s">
        <v>663</v>
      </c>
      <c r="C201" s="4" t="s">
        <v>541</v>
      </c>
      <c r="D201" s="4" t="n">
        <v>75</v>
      </c>
      <c r="E201" s="4" t="s">
        <v>69</v>
      </c>
      <c r="F201" s="4" t="s">
        <v>542</v>
      </c>
      <c r="G201" s="4" t="s">
        <v>240</v>
      </c>
      <c r="H201" s="4" t="s">
        <v>72</v>
      </c>
      <c r="I201" s="4"/>
    </row>
    <row r="202" customFormat="false" ht="15" hidden="false" customHeight="false" outlineLevel="0" collapsed="false">
      <c r="A202" s="4" t="n">
        <v>20</v>
      </c>
      <c r="B202" s="4" t="s">
        <v>663</v>
      </c>
      <c r="C202" s="4" t="s">
        <v>366</v>
      </c>
      <c r="D202" s="4" t="n">
        <v>3</v>
      </c>
      <c r="E202" s="4" t="s">
        <v>69</v>
      </c>
      <c r="F202" s="4" t="s">
        <v>543</v>
      </c>
      <c r="G202" s="4" t="s">
        <v>335</v>
      </c>
      <c r="H202" s="4" t="s">
        <v>72</v>
      </c>
      <c r="I202" s="4"/>
    </row>
    <row r="203" customFormat="false" ht="15" hidden="false" customHeight="false" outlineLevel="0" collapsed="false">
      <c r="A203" s="4" t="n">
        <v>20</v>
      </c>
      <c r="B203" s="4" t="s">
        <v>663</v>
      </c>
      <c r="C203" s="4" t="s">
        <v>544</v>
      </c>
      <c r="D203" s="4" t="n">
        <v>10</v>
      </c>
      <c r="E203" s="4" t="s">
        <v>69</v>
      </c>
      <c r="F203" s="4" t="s">
        <v>89</v>
      </c>
      <c r="G203" s="4" t="s">
        <v>269</v>
      </c>
      <c r="H203" s="4" t="s">
        <v>72</v>
      </c>
      <c r="I203" s="4"/>
    </row>
    <row r="204" customFormat="false" ht="15" hidden="false" customHeight="false" outlineLevel="0" collapsed="false">
      <c r="A204" s="4" t="n">
        <v>20</v>
      </c>
      <c r="B204" s="4" t="s">
        <v>663</v>
      </c>
      <c r="C204" s="4" t="s">
        <v>95</v>
      </c>
      <c r="D204" s="4" t="n">
        <v>1</v>
      </c>
      <c r="E204" s="4" t="s">
        <v>69</v>
      </c>
      <c r="F204" s="4"/>
      <c r="G204" s="4" t="s">
        <v>97</v>
      </c>
      <c r="H204" s="4" t="s">
        <v>79</v>
      </c>
      <c r="I204" s="4"/>
    </row>
    <row r="205" customFormat="false" ht="15" hidden="false" customHeight="false" outlineLevel="0" collapsed="false">
      <c r="A205" s="4" t="n">
        <v>20</v>
      </c>
      <c r="B205" s="4" t="s">
        <v>663</v>
      </c>
      <c r="C205" s="4" t="s">
        <v>98</v>
      </c>
      <c r="D205" s="4" t="n">
        <v>0.5</v>
      </c>
      <c r="E205" s="4" t="s">
        <v>69</v>
      </c>
      <c r="F205" s="4"/>
      <c r="G205" s="4" t="s">
        <v>97</v>
      </c>
      <c r="H205" s="4" t="s">
        <v>79</v>
      </c>
      <c r="I205" s="4"/>
    </row>
    <row r="206" customFormat="false" ht="15" hidden="false" customHeight="false" outlineLevel="0" collapsed="false">
      <c r="A206" s="4" t="n">
        <v>21</v>
      </c>
      <c r="B206" s="4" t="s">
        <v>664</v>
      </c>
      <c r="C206" s="4" t="s">
        <v>553</v>
      </c>
      <c r="D206" s="4" t="n">
        <v>125</v>
      </c>
      <c r="E206" s="4" t="s">
        <v>69</v>
      </c>
      <c r="F206" s="4" t="s">
        <v>401</v>
      </c>
      <c r="G206" s="4" t="s">
        <v>554</v>
      </c>
      <c r="H206" s="4" t="s">
        <v>72</v>
      </c>
      <c r="I206" s="4" t="s">
        <v>552</v>
      </c>
    </row>
    <row r="207" customFormat="false" ht="15" hidden="false" customHeight="false" outlineLevel="0" collapsed="false">
      <c r="A207" s="4" t="n">
        <v>21</v>
      </c>
      <c r="B207" s="4" t="s">
        <v>664</v>
      </c>
      <c r="C207" s="4" t="s">
        <v>117</v>
      </c>
      <c r="D207" s="4" t="n">
        <v>50</v>
      </c>
      <c r="E207" s="4" t="s">
        <v>69</v>
      </c>
      <c r="F207" s="4" t="s">
        <v>197</v>
      </c>
      <c r="G207" s="4" t="s">
        <v>119</v>
      </c>
      <c r="H207" s="4" t="s">
        <v>72</v>
      </c>
      <c r="I207" s="4" t="s">
        <v>552</v>
      </c>
    </row>
    <row r="208" customFormat="false" ht="15" hidden="false" customHeight="false" outlineLevel="0" collapsed="false">
      <c r="A208" s="4" t="n">
        <v>21</v>
      </c>
      <c r="B208" s="4" t="s">
        <v>664</v>
      </c>
      <c r="C208" s="4" t="s">
        <v>212</v>
      </c>
      <c r="D208" s="4" t="n">
        <v>3</v>
      </c>
      <c r="E208" s="4" t="s">
        <v>69</v>
      </c>
      <c r="F208" s="4" t="s">
        <v>540</v>
      </c>
      <c r="G208" s="4" t="s">
        <v>214</v>
      </c>
      <c r="H208" s="4" t="s">
        <v>72</v>
      </c>
      <c r="I208" s="4" t="s">
        <v>552</v>
      </c>
    </row>
    <row r="209" customFormat="false" ht="15" hidden="false" customHeight="false" outlineLevel="0" collapsed="false">
      <c r="A209" s="4" t="n">
        <v>21</v>
      </c>
      <c r="B209" s="4" t="s">
        <v>664</v>
      </c>
      <c r="C209" s="4" t="s">
        <v>555</v>
      </c>
      <c r="D209" s="4" t="n">
        <v>50</v>
      </c>
      <c r="E209" s="4" t="s">
        <v>69</v>
      </c>
      <c r="F209" s="4" t="s">
        <v>147</v>
      </c>
      <c r="G209" s="4" t="s">
        <v>556</v>
      </c>
      <c r="H209" s="4" t="s">
        <v>72</v>
      </c>
      <c r="I209" s="4" t="s">
        <v>552</v>
      </c>
    </row>
    <row r="210" customFormat="false" ht="15" hidden="false" customHeight="false" outlineLevel="0" collapsed="false">
      <c r="A210" s="4" t="n">
        <v>21</v>
      </c>
      <c r="B210" s="4" t="s">
        <v>664</v>
      </c>
      <c r="C210" s="4" t="s">
        <v>148</v>
      </c>
      <c r="D210" s="4" t="n">
        <v>70</v>
      </c>
      <c r="E210" s="4" t="s">
        <v>69</v>
      </c>
      <c r="F210" s="4" t="s">
        <v>557</v>
      </c>
      <c r="G210" s="4" t="s">
        <v>148</v>
      </c>
      <c r="H210" s="4" t="s">
        <v>72</v>
      </c>
      <c r="I210" s="4" t="s">
        <v>552</v>
      </c>
    </row>
    <row r="211" customFormat="false" ht="15" hidden="false" customHeight="false" outlineLevel="0" collapsed="false">
      <c r="A211" s="4" t="n">
        <v>21</v>
      </c>
      <c r="B211" s="4" t="s">
        <v>664</v>
      </c>
      <c r="C211" s="4" t="s">
        <v>287</v>
      </c>
      <c r="D211" s="4" t="n">
        <v>5</v>
      </c>
      <c r="E211" s="4" t="s">
        <v>69</v>
      </c>
      <c r="F211" s="4" t="s">
        <v>407</v>
      </c>
      <c r="G211" s="4" t="s">
        <v>221</v>
      </c>
      <c r="H211" s="4" t="s">
        <v>72</v>
      </c>
      <c r="I211" s="4" t="s">
        <v>552</v>
      </c>
    </row>
    <row r="212" customFormat="false" ht="15" hidden="false" customHeight="false" outlineLevel="0" collapsed="false">
      <c r="A212" s="4" t="n">
        <v>21</v>
      </c>
      <c r="B212" s="4" t="s">
        <v>664</v>
      </c>
      <c r="C212" s="4" t="s">
        <v>174</v>
      </c>
      <c r="D212" s="4" t="n">
        <v>350</v>
      </c>
      <c r="E212" s="4" t="s">
        <v>74</v>
      </c>
      <c r="F212" s="4" t="s">
        <v>558</v>
      </c>
      <c r="G212" s="4" t="s">
        <v>174</v>
      </c>
      <c r="H212" s="4" t="s">
        <v>72</v>
      </c>
      <c r="I212" s="4" t="s">
        <v>552</v>
      </c>
    </row>
    <row r="213" customFormat="false" ht="15" hidden="false" customHeight="false" outlineLevel="0" collapsed="false">
      <c r="A213" s="4" t="n">
        <v>21</v>
      </c>
      <c r="B213" s="4" t="s">
        <v>664</v>
      </c>
      <c r="C213" s="4" t="s">
        <v>267</v>
      </c>
      <c r="D213" s="4" t="n">
        <v>15</v>
      </c>
      <c r="E213" s="4" t="s">
        <v>69</v>
      </c>
      <c r="F213" s="4" t="s">
        <v>345</v>
      </c>
      <c r="G213" s="4" t="s">
        <v>269</v>
      </c>
      <c r="H213" s="4" t="s">
        <v>72</v>
      </c>
      <c r="I213" s="4" t="s">
        <v>552</v>
      </c>
    </row>
    <row r="214" customFormat="false" ht="15" hidden="false" customHeight="false" outlineLevel="0" collapsed="false">
      <c r="A214" s="4" t="n">
        <v>21</v>
      </c>
      <c r="B214" s="4" t="s">
        <v>664</v>
      </c>
      <c r="C214" s="4" t="s">
        <v>559</v>
      </c>
      <c r="D214" s="4" t="n">
        <v>25</v>
      </c>
      <c r="E214" s="4" t="s">
        <v>69</v>
      </c>
      <c r="F214" s="4" t="s">
        <v>345</v>
      </c>
      <c r="G214" s="4" t="s">
        <v>145</v>
      </c>
      <c r="H214" s="4" t="s">
        <v>72</v>
      </c>
      <c r="I214" s="4" t="s">
        <v>552</v>
      </c>
    </row>
    <row r="215" customFormat="false" ht="15" hidden="false" customHeight="false" outlineLevel="0" collapsed="false">
      <c r="A215" s="4" t="n">
        <v>21</v>
      </c>
      <c r="B215" s="4" t="s">
        <v>664</v>
      </c>
      <c r="C215" s="4" t="s">
        <v>88</v>
      </c>
      <c r="D215" s="4" t="n">
        <v>5</v>
      </c>
      <c r="E215" s="4" t="s">
        <v>74</v>
      </c>
      <c r="F215" s="4" t="s">
        <v>81</v>
      </c>
      <c r="G215" s="4" t="s">
        <v>90</v>
      </c>
      <c r="H215" s="4" t="s">
        <v>72</v>
      </c>
      <c r="I215" s="4" t="s">
        <v>552</v>
      </c>
    </row>
    <row r="216" customFormat="false" ht="15" hidden="false" customHeight="false" outlineLevel="0" collapsed="false">
      <c r="A216" s="4" t="n">
        <v>21</v>
      </c>
      <c r="B216" s="4" t="s">
        <v>664</v>
      </c>
      <c r="C216" s="4" t="s">
        <v>98</v>
      </c>
      <c r="D216" s="4" t="n">
        <v>0.5</v>
      </c>
      <c r="E216" s="4" t="s">
        <v>69</v>
      </c>
      <c r="F216" s="4"/>
      <c r="G216" s="4" t="s">
        <v>97</v>
      </c>
      <c r="H216" s="4" t="s">
        <v>79</v>
      </c>
      <c r="I216" s="4" t="s">
        <v>552</v>
      </c>
    </row>
    <row r="217" customFormat="false" ht="15" hidden="false" customHeight="false" outlineLevel="0" collapsed="false">
      <c r="A217" s="4" t="n">
        <v>21</v>
      </c>
      <c r="B217" s="4" t="s">
        <v>664</v>
      </c>
      <c r="C217" s="4" t="s">
        <v>95</v>
      </c>
      <c r="D217" s="4" t="n">
        <v>0</v>
      </c>
      <c r="E217" s="4" t="s">
        <v>69</v>
      </c>
      <c r="F217" s="4" t="s">
        <v>560</v>
      </c>
      <c r="G217" s="4" t="s">
        <v>97</v>
      </c>
      <c r="H217" s="4" t="s">
        <v>79</v>
      </c>
      <c r="I217" s="4" t="s">
        <v>552</v>
      </c>
    </row>
    <row r="218" customFormat="false" ht="15" hidden="false" customHeight="false" outlineLevel="0" collapsed="false">
      <c r="A218" s="4" t="n">
        <v>22</v>
      </c>
      <c r="B218" s="4" t="s">
        <v>665</v>
      </c>
      <c r="C218" s="4" t="s">
        <v>196</v>
      </c>
      <c r="D218" s="4" t="n">
        <v>110</v>
      </c>
      <c r="E218" s="4" t="s">
        <v>69</v>
      </c>
      <c r="F218" s="4" t="s">
        <v>572</v>
      </c>
      <c r="G218" s="4" t="s">
        <v>196</v>
      </c>
      <c r="H218" s="4" t="s">
        <v>72</v>
      </c>
      <c r="I218" s="4" t="s">
        <v>571</v>
      </c>
    </row>
    <row r="219" customFormat="false" ht="15" hidden="false" customHeight="false" outlineLevel="0" collapsed="false">
      <c r="A219" s="4" t="n">
        <v>22</v>
      </c>
      <c r="B219" s="4" t="s">
        <v>665</v>
      </c>
      <c r="C219" s="4" t="s">
        <v>573</v>
      </c>
      <c r="D219" s="4" t="n">
        <v>175</v>
      </c>
      <c r="E219" s="4" t="s">
        <v>69</v>
      </c>
      <c r="F219" s="4" t="s">
        <v>574</v>
      </c>
      <c r="G219" s="4" t="s">
        <v>573</v>
      </c>
      <c r="H219" s="4" t="s">
        <v>72</v>
      </c>
      <c r="I219" s="4" t="s">
        <v>571</v>
      </c>
    </row>
    <row r="220" customFormat="false" ht="15" hidden="false" customHeight="false" outlineLevel="0" collapsed="false">
      <c r="A220" s="4" t="n">
        <v>22</v>
      </c>
      <c r="B220" s="4" t="s">
        <v>665</v>
      </c>
      <c r="C220" s="4" t="s">
        <v>361</v>
      </c>
      <c r="D220" s="4" t="n">
        <v>125</v>
      </c>
      <c r="E220" s="4" t="s">
        <v>69</v>
      </c>
      <c r="F220" s="4" t="s">
        <v>575</v>
      </c>
      <c r="G220" s="4" t="s">
        <v>361</v>
      </c>
      <c r="H220" s="4" t="s">
        <v>72</v>
      </c>
      <c r="I220" s="4" t="s">
        <v>571</v>
      </c>
    </row>
    <row r="221" customFormat="false" ht="15" hidden="false" customHeight="false" outlineLevel="0" collapsed="false">
      <c r="A221" s="4" t="n">
        <v>22</v>
      </c>
      <c r="B221" s="4" t="s">
        <v>665</v>
      </c>
      <c r="C221" s="4" t="s">
        <v>576</v>
      </c>
      <c r="D221" s="4" t="n">
        <v>62</v>
      </c>
      <c r="E221" s="4" t="s">
        <v>69</v>
      </c>
      <c r="F221" s="4" t="s">
        <v>577</v>
      </c>
      <c r="G221" s="4" t="s">
        <v>578</v>
      </c>
      <c r="H221" s="4" t="s">
        <v>72</v>
      </c>
      <c r="I221" s="4" t="s">
        <v>571</v>
      </c>
    </row>
    <row r="222" customFormat="false" ht="15" hidden="false" customHeight="false" outlineLevel="0" collapsed="false">
      <c r="A222" s="4" t="n">
        <v>22</v>
      </c>
      <c r="B222" s="4" t="s">
        <v>665</v>
      </c>
      <c r="C222" s="4" t="s">
        <v>212</v>
      </c>
      <c r="D222" s="4" t="n">
        <v>3</v>
      </c>
      <c r="E222" s="4" t="s">
        <v>69</v>
      </c>
      <c r="F222" s="4" t="s">
        <v>540</v>
      </c>
      <c r="G222" s="4" t="s">
        <v>214</v>
      </c>
      <c r="H222" s="4" t="s">
        <v>72</v>
      </c>
      <c r="I222" s="4" t="s">
        <v>571</v>
      </c>
    </row>
    <row r="223" customFormat="false" ht="15" hidden="false" customHeight="false" outlineLevel="0" collapsed="false">
      <c r="A223" s="4" t="n">
        <v>22</v>
      </c>
      <c r="B223" s="4" t="s">
        <v>665</v>
      </c>
      <c r="C223" s="4" t="s">
        <v>579</v>
      </c>
      <c r="D223" s="4" t="n">
        <v>25</v>
      </c>
      <c r="E223" s="4" t="s">
        <v>69</v>
      </c>
      <c r="F223" s="4" t="s">
        <v>580</v>
      </c>
      <c r="G223" s="4" t="s">
        <v>581</v>
      </c>
      <c r="H223" s="4" t="s">
        <v>72</v>
      </c>
      <c r="I223" s="4" t="s">
        <v>571</v>
      </c>
    </row>
    <row r="224" customFormat="false" ht="15" hidden="false" customHeight="false" outlineLevel="0" collapsed="false">
      <c r="A224" s="4" t="n">
        <v>22</v>
      </c>
      <c r="B224" s="4" t="s">
        <v>665</v>
      </c>
      <c r="C224" s="4" t="s">
        <v>504</v>
      </c>
      <c r="D224" s="4" t="n">
        <v>0.5</v>
      </c>
      <c r="E224" s="4" t="s">
        <v>69</v>
      </c>
      <c r="F224" s="4" t="s">
        <v>96</v>
      </c>
      <c r="G224" s="4" t="s">
        <v>505</v>
      </c>
      <c r="H224" s="4" t="s">
        <v>72</v>
      </c>
      <c r="I224" s="4" t="s">
        <v>571</v>
      </c>
    </row>
    <row r="225" customFormat="false" ht="15" hidden="false" customHeight="false" outlineLevel="0" collapsed="false">
      <c r="A225" s="4" t="n">
        <v>22</v>
      </c>
      <c r="B225" s="4" t="s">
        <v>665</v>
      </c>
      <c r="C225" s="4" t="s">
        <v>168</v>
      </c>
      <c r="D225" s="4" t="n">
        <v>15</v>
      </c>
      <c r="E225" s="4" t="s">
        <v>74</v>
      </c>
      <c r="F225" s="4" t="s">
        <v>89</v>
      </c>
      <c r="G225" s="4" t="s">
        <v>90</v>
      </c>
      <c r="H225" s="4" t="s">
        <v>72</v>
      </c>
      <c r="I225" s="4" t="s">
        <v>571</v>
      </c>
    </row>
    <row r="226" customFormat="false" ht="15" hidden="false" customHeight="false" outlineLevel="0" collapsed="false">
      <c r="A226" s="4" t="n">
        <v>22</v>
      </c>
      <c r="B226" s="4" t="s">
        <v>665</v>
      </c>
      <c r="C226" s="4" t="s">
        <v>582</v>
      </c>
      <c r="D226" s="4" t="n">
        <v>80</v>
      </c>
      <c r="E226" s="4" t="s">
        <v>69</v>
      </c>
      <c r="F226" s="4" t="s">
        <v>583</v>
      </c>
      <c r="G226" s="4" t="s">
        <v>142</v>
      </c>
      <c r="H226" s="4" t="s">
        <v>94</v>
      </c>
      <c r="I226" s="4" t="s">
        <v>571</v>
      </c>
    </row>
    <row r="227" customFormat="false" ht="15" hidden="false" customHeight="false" outlineLevel="0" collapsed="false">
      <c r="A227" s="4" t="n">
        <v>22</v>
      </c>
      <c r="B227" s="4" t="s">
        <v>665</v>
      </c>
      <c r="C227" s="4" t="s">
        <v>95</v>
      </c>
      <c r="D227" s="4" t="n">
        <v>0.5</v>
      </c>
      <c r="E227" s="4" t="s">
        <v>69</v>
      </c>
      <c r="F227" s="4"/>
      <c r="G227" s="4" t="s">
        <v>97</v>
      </c>
      <c r="H227" s="4" t="s">
        <v>79</v>
      </c>
      <c r="I227" s="4" t="s">
        <v>571</v>
      </c>
    </row>
    <row r="228" customFormat="false" ht="15" hidden="false" customHeight="false" outlineLevel="0" collapsed="false">
      <c r="A228" s="4" t="n">
        <v>22</v>
      </c>
      <c r="B228" s="4" t="s">
        <v>665</v>
      </c>
      <c r="C228" s="4" t="s">
        <v>98</v>
      </c>
      <c r="D228" s="4" t="n">
        <v>0.5</v>
      </c>
      <c r="E228" s="4" t="s">
        <v>69</v>
      </c>
      <c r="F228" s="4"/>
      <c r="G228" s="4" t="s">
        <v>97</v>
      </c>
      <c r="H228" s="4" t="s">
        <v>79</v>
      </c>
      <c r="I228" s="4" t="s">
        <v>571</v>
      </c>
    </row>
    <row r="229" customFormat="false" ht="15" hidden="false" customHeight="false" outlineLevel="0" collapsed="false">
      <c r="A229" s="4" t="n">
        <v>23</v>
      </c>
      <c r="B229" s="4" t="s">
        <v>666</v>
      </c>
      <c r="C229" s="4" t="s">
        <v>597</v>
      </c>
      <c r="D229" s="4" t="n">
        <v>125</v>
      </c>
      <c r="E229" s="4" t="s">
        <v>69</v>
      </c>
      <c r="F229" s="4" t="s">
        <v>147</v>
      </c>
      <c r="G229" s="4" t="s">
        <v>191</v>
      </c>
      <c r="H229" s="4" t="s">
        <v>72</v>
      </c>
      <c r="I229" s="4" t="s">
        <v>596</v>
      </c>
    </row>
    <row r="230" customFormat="false" ht="15" hidden="false" customHeight="false" outlineLevel="0" collapsed="false">
      <c r="A230" s="4" t="n">
        <v>23</v>
      </c>
      <c r="B230" s="4" t="s">
        <v>666</v>
      </c>
      <c r="C230" s="4" t="s">
        <v>598</v>
      </c>
      <c r="D230" s="4" t="n">
        <v>50</v>
      </c>
      <c r="E230" s="4" t="s">
        <v>69</v>
      </c>
      <c r="F230" s="4" t="s">
        <v>599</v>
      </c>
      <c r="G230" s="4" t="s">
        <v>600</v>
      </c>
      <c r="H230" s="4" t="s">
        <v>72</v>
      </c>
      <c r="I230" s="4" t="s">
        <v>596</v>
      </c>
    </row>
    <row r="231" customFormat="false" ht="15" hidden="false" customHeight="false" outlineLevel="0" collapsed="false">
      <c r="A231" s="4" t="n">
        <v>23</v>
      </c>
      <c r="B231" s="4" t="s">
        <v>666</v>
      </c>
      <c r="C231" s="4" t="s">
        <v>361</v>
      </c>
      <c r="D231" s="4" t="n">
        <v>125</v>
      </c>
      <c r="E231" s="4" t="s">
        <v>69</v>
      </c>
      <c r="F231" s="4" t="s">
        <v>575</v>
      </c>
      <c r="G231" s="4" t="s">
        <v>361</v>
      </c>
      <c r="H231" s="4" t="s">
        <v>72</v>
      </c>
      <c r="I231" s="4" t="s">
        <v>596</v>
      </c>
    </row>
    <row r="232" customFormat="false" ht="15" hidden="false" customHeight="false" outlineLevel="0" collapsed="false">
      <c r="A232" s="4" t="n">
        <v>23</v>
      </c>
      <c r="B232" s="4" t="s">
        <v>666</v>
      </c>
      <c r="C232" s="4" t="s">
        <v>576</v>
      </c>
      <c r="D232" s="4" t="n">
        <v>125</v>
      </c>
      <c r="E232" s="4" t="s">
        <v>69</v>
      </c>
      <c r="F232" s="4" t="s">
        <v>601</v>
      </c>
      <c r="G232" s="4" t="s">
        <v>578</v>
      </c>
      <c r="H232" s="4" t="s">
        <v>72</v>
      </c>
      <c r="I232" s="4" t="s">
        <v>596</v>
      </c>
    </row>
    <row r="233" customFormat="false" ht="15" hidden="false" customHeight="false" outlineLevel="0" collapsed="false">
      <c r="A233" s="4" t="n">
        <v>23</v>
      </c>
      <c r="B233" s="4" t="s">
        <v>666</v>
      </c>
      <c r="C233" s="4" t="s">
        <v>267</v>
      </c>
      <c r="D233" s="4" t="n">
        <v>15</v>
      </c>
      <c r="E233" s="4" t="s">
        <v>69</v>
      </c>
      <c r="F233" s="4" t="s">
        <v>345</v>
      </c>
      <c r="G233" s="4" t="s">
        <v>269</v>
      </c>
      <c r="H233" s="4" t="s">
        <v>94</v>
      </c>
      <c r="I233" s="4" t="s">
        <v>596</v>
      </c>
    </row>
    <row r="234" customFormat="false" ht="15" hidden="false" customHeight="false" outlineLevel="0" collapsed="false">
      <c r="A234" s="4" t="n">
        <v>23</v>
      </c>
      <c r="B234" s="4" t="s">
        <v>666</v>
      </c>
      <c r="C234" s="4" t="s">
        <v>95</v>
      </c>
      <c r="D234" s="4" t="n">
        <v>1</v>
      </c>
      <c r="E234" s="4" t="s">
        <v>69</v>
      </c>
      <c r="F234" s="4" t="s">
        <v>270</v>
      </c>
      <c r="G234" s="4" t="s">
        <v>97</v>
      </c>
      <c r="H234" s="4" t="s">
        <v>79</v>
      </c>
      <c r="I234" s="4" t="s">
        <v>596</v>
      </c>
    </row>
    <row r="235" customFormat="false" ht="15" hidden="false" customHeight="false" outlineLevel="0" collapsed="false">
      <c r="A235" s="4" t="n">
        <v>23</v>
      </c>
      <c r="B235" s="4" t="s">
        <v>666</v>
      </c>
      <c r="C235" s="4" t="s">
        <v>98</v>
      </c>
      <c r="D235" s="4" t="n">
        <v>0.5</v>
      </c>
      <c r="E235" s="4" t="s">
        <v>69</v>
      </c>
      <c r="F235" s="4"/>
      <c r="G235" s="4" t="s">
        <v>97</v>
      </c>
      <c r="H235" s="4" t="s">
        <v>79</v>
      </c>
      <c r="I235" s="4" t="s">
        <v>596</v>
      </c>
    </row>
    <row r="236" customFormat="false" ht="15" hidden="false" customHeight="false" outlineLevel="0" collapsed="false">
      <c r="A236" s="4" t="n">
        <v>24</v>
      </c>
      <c r="B236" s="4" t="s">
        <v>667</v>
      </c>
      <c r="C236" s="4" t="s">
        <v>597</v>
      </c>
      <c r="D236" s="4" t="n">
        <v>125</v>
      </c>
      <c r="E236" s="4" t="s">
        <v>69</v>
      </c>
      <c r="F236" s="4" t="s">
        <v>147</v>
      </c>
      <c r="G236" s="4" t="s">
        <v>191</v>
      </c>
      <c r="H236" s="4" t="s">
        <v>72</v>
      </c>
      <c r="I236" s="4" t="s">
        <v>613</v>
      </c>
    </row>
    <row r="237" customFormat="false" ht="15" hidden="false" customHeight="false" outlineLevel="0" collapsed="false">
      <c r="A237" s="4" t="n">
        <v>24</v>
      </c>
      <c r="B237" s="4" t="s">
        <v>667</v>
      </c>
      <c r="C237" s="4" t="s">
        <v>614</v>
      </c>
      <c r="D237" s="4" t="n">
        <v>210</v>
      </c>
      <c r="E237" s="4" t="s">
        <v>74</v>
      </c>
      <c r="F237" s="4" t="s">
        <v>615</v>
      </c>
      <c r="G237" s="4" t="s">
        <v>616</v>
      </c>
      <c r="H237" s="4" t="s">
        <v>72</v>
      </c>
      <c r="I237" s="4" t="s">
        <v>613</v>
      </c>
    </row>
    <row r="238" customFormat="false" ht="15" hidden="false" customHeight="false" outlineLevel="0" collapsed="false">
      <c r="A238" s="4" t="n">
        <v>24</v>
      </c>
      <c r="B238" s="4" t="s">
        <v>667</v>
      </c>
      <c r="C238" s="4" t="s">
        <v>576</v>
      </c>
      <c r="D238" s="4" t="n">
        <v>62</v>
      </c>
      <c r="E238" s="4" t="s">
        <v>69</v>
      </c>
      <c r="F238" s="4" t="s">
        <v>617</v>
      </c>
      <c r="G238" s="4" t="s">
        <v>578</v>
      </c>
      <c r="H238" s="4" t="s">
        <v>72</v>
      </c>
      <c r="I238" s="4" t="s">
        <v>613</v>
      </c>
    </row>
    <row r="239" customFormat="false" ht="15" hidden="false" customHeight="false" outlineLevel="0" collapsed="false">
      <c r="A239" s="4" t="n">
        <v>24</v>
      </c>
      <c r="B239" s="4" t="s">
        <v>667</v>
      </c>
      <c r="C239" s="4" t="s">
        <v>267</v>
      </c>
      <c r="D239" s="4" t="n">
        <v>15</v>
      </c>
      <c r="E239" s="4" t="s">
        <v>69</v>
      </c>
      <c r="F239" s="4" t="s">
        <v>345</v>
      </c>
      <c r="G239" s="4" t="s">
        <v>269</v>
      </c>
      <c r="H239" s="4" t="s">
        <v>94</v>
      </c>
      <c r="I239" s="4" t="s">
        <v>613</v>
      </c>
    </row>
    <row r="240" customFormat="false" ht="15" hidden="false" customHeight="false" outlineLevel="0" collapsed="false">
      <c r="A240" s="4" t="n">
        <v>24</v>
      </c>
      <c r="B240" s="4" t="s">
        <v>667</v>
      </c>
      <c r="C240" s="4" t="s">
        <v>88</v>
      </c>
      <c r="D240" s="4" t="n">
        <v>5</v>
      </c>
      <c r="E240" s="4" t="s">
        <v>74</v>
      </c>
      <c r="F240" s="4" t="s">
        <v>81</v>
      </c>
      <c r="G240" s="4" t="s">
        <v>90</v>
      </c>
      <c r="H240" s="4" t="s">
        <v>79</v>
      </c>
      <c r="I240" s="4" t="s">
        <v>613</v>
      </c>
    </row>
    <row r="241" customFormat="false" ht="15" hidden="false" customHeight="false" outlineLevel="0" collapsed="false">
      <c r="A241" s="4" t="n">
        <v>24</v>
      </c>
      <c r="B241" s="4" t="s">
        <v>667</v>
      </c>
      <c r="C241" s="4" t="s">
        <v>95</v>
      </c>
      <c r="D241" s="4" t="n">
        <v>1</v>
      </c>
      <c r="E241" s="4" t="s">
        <v>69</v>
      </c>
      <c r="F241" s="4" t="s">
        <v>270</v>
      </c>
      <c r="G241" s="4" t="s">
        <v>97</v>
      </c>
      <c r="H241" s="4" t="s">
        <v>79</v>
      </c>
      <c r="I241" s="4" t="s">
        <v>613</v>
      </c>
    </row>
    <row r="242" customFormat="false" ht="15" hidden="false" customHeight="false" outlineLevel="0" collapsed="false">
      <c r="A242" s="4" t="n">
        <v>24</v>
      </c>
      <c r="B242" s="4" t="s">
        <v>667</v>
      </c>
      <c r="C242" s="4" t="s">
        <v>98</v>
      </c>
      <c r="D242" s="4" t="n">
        <v>0.5</v>
      </c>
      <c r="E242" s="4" t="s">
        <v>69</v>
      </c>
      <c r="F242" s="4"/>
      <c r="G242" s="4" t="s">
        <v>97</v>
      </c>
      <c r="H242" s="4" t="s">
        <v>79</v>
      </c>
      <c r="I242" s="4" t="s">
        <v>613</v>
      </c>
    </row>
  </sheetData>
  <autoFilter ref="A3:I2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668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679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297</v>
      </c>
      <c r="D6" s="4" t="n">
        <f aca="false">ROUND(Nutrition!H148,0)</f>
        <v>864</v>
      </c>
      <c r="E6" s="5" t="s">
        <v>685</v>
      </c>
      <c r="F6" s="5" t="s">
        <v>301</v>
      </c>
      <c r="G6" s="4" t="str">
        <f aca="false">ROUND(Nutrition!I148,0)&amp;" / "&amp;ROUND(Nutrition!J148,0)&amp;" / "&amp;ROUND(Nutrition!K148,0)</f>
        <v>39 / 75 / 44</v>
      </c>
    </row>
    <row r="7" customFormat="false" ht="31.5" hidden="false" customHeight="true" outlineLevel="0" collapsed="false">
      <c r="A7" s="4" t="s">
        <v>686</v>
      </c>
      <c r="B7" s="5" t="s">
        <v>687</v>
      </c>
      <c r="C7" s="16" t="s">
        <v>442</v>
      </c>
      <c r="D7" s="4" t="n">
        <f aca="false">ROUND(Nutrition!H253,0)</f>
        <v>838</v>
      </c>
      <c r="E7" s="5" t="s">
        <v>688</v>
      </c>
      <c r="F7" s="5" t="s">
        <v>446</v>
      </c>
      <c r="G7" s="4" t="str">
        <f aca="false">ROUND(Nutrition!I253,0)&amp;" / "&amp;ROUND(Nutrition!J253,0)&amp;" / "&amp;ROUND(Nutrition!K253,0)</f>
        <v>50 / 105 / 23</v>
      </c>
    </row>
    <row r="8" customFormat="false" ht="31.5" hidden="false" customHeight="true" outlineLevel="0" collapsed="false">
      <c r="A8" s="4" t="s">
        <v>689</v>
      </c>
      <c r="B8" s="5" t="s">
        <v>690</v>
      </c>
      <c r="C8" s="16" t="s">
        <v>187</v>
      </c>
      <c r="D8" s="4" t="n">
        <f aca="false">ROUND(Nutrition!H71,0)</f>
        <v>876</v>
      </c>
      <c r="E8" s="5" t="s">
        <v>691</v>
      </c>
      <c r="F8" s="5"/>
      <c r="G8" s="4" t="str">
        <f aca="false">ROUND(Nutrition!I71,0)&amp;" / "&amp;ROUND(Nutrition!J71,0)&amp;" / "&amp;ROUND(Nutrition!K71,0)</f>
        <v>30 / 100 / 39</v>
      </c>
    </row>
    <row r="9" customFormat="false" ht="31.5" hidden="false" customHeight="true" outlineLevel="0" collapsed="false">
      <c r="A9" s="4" t="s">
        <v>692</v>
      </c>
      <c r="B9" s="5" t="s">
        <v>693</v>
      </c>
      <c r="C9" s="16" t="s">
        <v>277</v>
      </c>
      <c r="D9" s="4" t="n">
        <f aca="false">ROUND(Nutrition!H135,0)</f>
        <v>708</v>
      </c>
      <c r="E9" s="5" t="s">
        <v>694</v>
      </c>
      <c r="F9" s="5" t="s">
        <v>280</v>
      </c>
      <c r="G9" s="4" t="str">
        <f aca="false">ROUND(Nutrition!I135,0)&amp;" / "&amp;ROUND(Nutrition!J135,0)&amp;" / "&amp;ROUND(Nutrition!K135,0)</f>
        <v>21 / 77 / 35</v>
      </c>
    </row>
    <row r="10" customFormat="false" ht="31.5" hidden="false" customHeight="true" outlineLevel="0" collapsed="false">
      <c r="A10" s="4" t="s">
        <v>695</v>
      </c>
      <c r="B10" s="5" t="s">
        <v>696</v>
      </c>
      <c r="C10" s="16" t="s">
        <v>419</v>
      </c>
      <c r="D10" s="4" t="n">
        <f aca="false">ROUND(Nutrition!H235,0)</f>
        <v>780</v>
      </c>
      <c r="E10" s="5" t="s">
        <v>697</v>
      </c>
      <c r="F10" s="5"/>
      <c r="G10" s="4" t="str">
        <f aca="false">ROUND(Nutrition!I235,0)&amp;" / "&amp;ROUND(Nutrition!J235,0)&amp;" / "&amp;ROUND(Nutrition!K235,0)</f>
        <v>38 / 36 / 52</v>
      </c>
    </row>
    <row r="11" customFormat="false" ht="52.2" hidden="false" customHeight="false" outlineLevel="0" collapsed="false">
      <c r="A11" s="4" t="s">
        <v>698</v>
      </c>
      <c r="B11" s="5" t="s">
        <v>699</v>
      </c>
      <c r="C11" s="4" t="s">
        <v>700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700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718</v>
      </c>
      <c r="B16" s="4" t="s">
        <v>719</v>
      </c>
      <c r="C16" s="4" t="n">
        <v>1</v>
      </c>
      <c r="D16" s="6" t="n">
        <v>1.85</v>
      </c>
      <c r="E16" s="6" t="n">
        <f aca="false">C16*D16</f>
        <v>1.85</v>
      </c>
      <c r="F16" s="4" t="n">
        <v>120</v>
      </c>
      <c r="G16" s="4" t="n">
        <v>120</v>
      </c>
      <c r="H16" s="4" t="s">
        <v>69</v>
      </c>
      <c r="I16" s="4" t="n">
        <v>0</v>
      </c>
      <c r="J16" s="6" t="n">
        <v>0</v>
      </c>
      <c r="K16" s="6" t="n">
        <v>0</v>
      </c>
      <c r="L16" s="4" t="s">
        <v>720</v>
      </c>
    </row>
    <row r="17" customFormat="false" ht="15" hidden="false" customHeight="false" outlineLevel="0" collapsed="false">
      <c r="A17" s="5" t="s">
        <v>721</v>
      </c>
      <c r="B17" s="4" t="s">
        <v>719</v>
      </c>
      <c r="C17" s="4" t="n">
        <v>1</v>
      </c>
      <c r="D17" s="6" t="n">
        <v>2.09</v>
      </c>
      <c r="E17" s="6" t="n">
        <f aca="false">C17*D17</f>
        <v>2.09</v>
      </c>
      <c r="F17" s="4" t="n">
        <v>200</v>
      </c>
      <c r="G17" s="4" t="n">
        <v>200</v>
      </c>
      <c r="H17" s="4" t="s">
        <v>69</v>
      </c>
      <c r="I17" s="4" t="n">
        <v>0</v>
      </c>
      <c r="J17" s="6" t="n">
        <v>0</v>
      </c>
      <c r="K17" s="6" t="n">
        <v>0</v>
      </c>
      <c r="L17" s="4" t="s">
        <v>722</v>
      </c>
    </row>
    <row r="18" customFormat="false" ht="15" hidden="false" customHeight="false" outlineLevel="0" collapsed="false">
      <c r="A18" s="5" t="s">
        <v>723</v>
      </c>
      <c r="B18" s="4" t="s">
        <v>719</v>
      </c>
      <c r="C18" s="4" t="n">
        <v>1</v>
      </c>
      <c r="D18" s="6" t="n">
        <v>1.75</v>
      </c>
      <c r="E18" s="6" t="n">
        <f aca="false">C18*D18</f>
        <v>1.75</v>
      </c>
      <c r="F18" s="4" t="n">
        <v>280</v>
      </c>
      <c r="G18" s="4" t="n">
        <v>350</v>
      </c>
      <c r="H18" s="4" t="s">
        <v>69</v>
      </c>
      <c r="I18" s="4" t="n">
        <v>70</v>
      </c>
      <c r="J18" s="6" t="n">
        <v>0.175</v>
      </c>
      <c r="K18" s="6" t="n">
        <v>0.175</v>
      </c>
      <c r="L18" s="4" t="s">
        <v>724</v>
      </c>
    </row>
    <row r="19" customFormat="false" ht="15" hidden="false" customHeight="false" outlineLevel="0" collapsed="false">
      <c r="A19" s="5" t="s">
        <v>725</v>
      </c>
      <c r="B19" s="4" t="s">
        <v>726</v>
      </c>
      <c r="C19" s="4" t="n">
        <v>1</v>
      </c>
      <c r="D19" s="6" t="n">
        <v>0.75</v>
      </c>
      <c r="E19" s="6" t="n">
        <f aca="false">C19*D19</f>
        <v>0.75</v>
      </c>
      <c r="F19" s="4" t="n">
        <v>80</v>
      </c>
      <c r="G19" s="4" t="n">
        <v>200</v>
      </c>
      <c r="H19" s="4" t="s">
        <v>74</v>
      </c>
      <c r="I19" s="4" t="n">
        <v>120</v>
      </c>
      <c r="J19" s="6" t="n">
        <v>0.135</v>
      </c>
      <c r="K19" s="6" t="n">
        <v>0.315</v>
      </c>
      <c r="L19" s="4" t="s">
        <v>727</v>
      </c>
    </row>
    <row r="20" customFormat="false" ht="15" hidden="false" customHeight="false" outlineLevel="0" collapsed="false">
      <c r="A20" s="5" t="s">
        <v>728</v>
      </c>
      <c r="B20" s="4" t="s">
        <v>726</v>
      </c>
      <c r="C20" s="4" t="n">
        <v>2</v>
      </c>
      <c r="D20" s="6" t="n">
        <v>0.69</v>
      </c>
      <c r="E20" s="6" t="n">
        <f aca="false">C20*D20</f>
        <v>1.38</v>
      </c>
      <c r="F20" s="4" t="n">
        <v>250</v>
      </c>
      <c r="G20" s="4" t="n">
        <v>400</v>
      </c>
      <c r="H20" s="4" t="s">
        <v>74</v>
      </c>
      <c r="I20" s="4" t="n">
        <v>150</v>
      </c>
      <c r="J20" s="6" t="n">
        <v>0</v>
      </c>
      <c r="K20" s="6" t="n">
        <v>0.5175</v>
      </c>
      <c r="L20" s="4" t="s">
        <v>729</v>
      </c>
    </row>
    <row r="21" customFormat="false" ht="15" hidden="false" customHeight="false" outlineLevel="0" collapsed="false">
      <c r="A21" s="5" t="s">
        <v>730</v>
      </c>
      <c r="B21" s="4" t="s">
        <v>726</v>
      </c>
      <c r="C21" s="4" t="n">
        <v>1</v>
      </c>
      <c r="D21" s="6" t="n">
        <v>1.69</v>
      </c>
      <c r="E21" s="6" t="n">
        <f aca="false">C21*D21</f>
        <v>1.69</v>
      </c>
      <c r="F21" s="4" t="n">
        <v>36</v>
      </c>
      <c r="G21" s="4" t="n">
        <v>330</v>
      </c>
      <c r="H21" s="4" t="s">
        <v>69</v>
      </c>
      <c r="I21" s="4" t="n">
        <v>294</v>
      </c>
      <c r="J21" s="6" t="n">
        <v>0</v>
      </c>
      <c r="K21" s="6" t="n">
        <v>1.50563636363636</v>
      </c>
      <c r="L21" s="4" t="s">
        <v>729</v>
      </c>
    </row>
    <row r="22" customFormat="false" ht="15" hidden="false" customHeight="false" outlineLevel="0" collapsed="false">
      <c r="A22" s="5" t="s">
        <v>731</v>
      </c>
      <c r="B22" s="4" t="s">
        <v>732</v>
      </c>
      <c r="C22" s="4" t="n">
        <v>1</v>
      </c>
      <c r="D22" s="6" t="n">
        <v>2.29</v>
      </c>
      <c r="E22" s="6" t="n">
        <f aca="false">C22*D22</f>
        <v>2.29</v>
      </c>
      <c r="F22" s="4" t="n">
        <v>300</v>
      </c>
      <c r="G22" s="4" t="n">
        <v>750</v>
      </c>
      <c r="H22" s="4" t="s">
        <v>69</v>
      </c>
      <c r="I22" s="4" t="n">
        <v>450</v>
      </c>
      <c r="J22" s="8" t="n">
        <v>0.687</v>
      </c>
      <c r="K22" s="6" t="n">
        <v>0.687</v>
      </c>
      <c r="L22" s="4" t="s">
        <v>733</v>
      </c>
    </row>
    <row r="23" customFormat="false" ht="15" hidden="false" customHeight="false" outlineLevel="0" collapsed="false">
      <c r="A23" s="5" t="s">
        <v>734</v>
      </c>
      <c r="B23" s="4" t="s">
        <v>732</v>
      </c>
      <c r="C23" s="4" t="n">
        <v>1</v>
      </c>
      <c r="D23" s="6" t="n">
        <v>2.69</v>
      </c>
      <c r="E23" s="6" t="n">
        <f aca="false">C23*D23</f>
        <v>2.69</v>
      </c>
      <c r="F23" s="4" t="n">
        <v>320</v>
      </c>
      <c r="G23" s="4" t="n">
        <v>1000</v>
      </c>
      <c r="H23" s="4" t="s">
        <v>69</v>
      </c>
      <c r="I23" s="4" t="n">
        <v>680</v>
      </c>
      <c r="J23" s="6" t="n">
        <v>0.36584</v>
      </c>
      <c r="K23" s="6" t="n">
        <v>1.46336</v>
      </c>
      <c r="L23" s="4" t="s">
        <v>735</v>
      </c>
    </row>
    <row r="24" customFormat="false" ht="15" hidden="false" customHeight="false" outlineLevel="0" collapsed="false">
      <c r="A24" s="5" t="s">
        <v>736</v>
      </c>
      <c r="B24" s="4" t="s">
        <v>732</v>
      </c>
      <c r="C24" s="4" t="n">
        <v>1</v>
      </c>
      <c r="D24" s="6" t="n">
        <v>0.99</v>
      </c>
      <c r="E24" s="6" t="n">
        <f aca="false">C24*D24</f>
        <v>0.99</v>
      </c>
      <c r="F24" s="4" t="n">
        <v>100</v>
      </c>
      <c r="G24" s="4" t="n">
        <v>150</v>
      </c>
      <c r="H24" s="4" t="s">
        <v>69</v>
      </c>
      <c r="I24" s="4" t="n">
        <v>50</v>
      </c>
      <c r="J24" s="6" t="n">
        <v>0.33</v>
      </c>
      <c r="K24" s="6" t="n">
        <v>0</v>
      </c>
      <c r="L24" s="4" t="s">
        <v>720</v>
      </c>
    </row>
    <row r="25" customFormat="false" ht="15" hidden="false" customHeight="false" outlineLevel="0" collapsed="false">
      <c r="A25" s="5" t="s">
        <v>737</v>
      </c>
      <c r="B25" s="4" t="s">
        <v>738</v>
      </c>
      <c r="C25" s="4" t="n">
        <v>1</v>
      </c>
      <c r="D25" s="6" t="n">
        <v>3.49</v>
      </c>
      <c r="E25" s="6" t="n">
        <f aca="false">C25*D25</f>
        <v>3.49</v>
      </c>
      <c r="F25" s="4" t="n">
        <v>300</v>
      </c>
      <c r="G25" s="4" t="n">
        <v>300</v>
      </c>
      <c r="H25" s="4" t="s">
        <v>69</v>
      </c>
      <c r="I25" s="4" t="n">
        <v>0</v>
      </c>
      <c r="J25" s="6" t="n">
        <v>0</v>
      </c>
      <c r="K25" s="6" t="n">
        <v>0</v>
      </c>
      <c r="L25" s="4" t="s">
        <v>727</v>
      </c>
    </row>
    <row r="26" customFormat="false" ht="15" hidden="false" customHeight="false" outlineLevel="0" collapsed="false">
      <c r="A26" s="5" t="s">
        <v>739</v>
      </c>
      <c r="B26" s="4" t="s">
        <v>738</v>
      </c>
      <c r="C26" s="4" t="n">
        <v>1</v>
      </c>
      <c r="D26" s="6" t="n">
        <v>3.89</v>
      </c>
      <c r="E26" s="6" t="n">
        <f aca="false">C26*D26</f>
        <v>3.89</v>
      </c>
      <c r="F26" s="4" t="n">
        <v>240</v>
      </c>
      <c r="G26" s="4" t="n">
        <v>260</v>
      </c>
      <c r="H26" s="4" t="s">
        <v>69</v>
      </c>
      <c r="I26" s="4" t="n">
        <v>20</v>
      </c>
      <c r="J26" s="6" t="n">
        <v>0.299230769230769</v>
      </c>
      <c r="K26" s="6" t="n">
        <v>0</v>
      </c>
      <c r="L26" s="4" t="s">
        <v>740</v>
      </c>
    </row>
    <row r="27" customFormat="false" ht="15" hidden="false" customHeight="false" outlineLevel="0" collapsed="false">
      <c r="A27" s="5" t="s">
        <v>741</v>
      </c>
      <c r="B27" s="4" t="s">
        <v>742</v>
      </c>
      <c r="C27" s="4" t="n">
        <v>1</v>
      </c>
      <c r="D27" s="6" t="n">
        <v>1.29</v>
      </c>
      <c r="E27" s="6" t="n">
        <f aca="false">C27*D27</f>
        <v>1.29</v>
      </c>
      <c r="F27" s="4" t="n">
        <v>400</v>
      </c>
      <c r="G27" s="4" t="n">
        <v>530</v>
      </c>
      <c r="H27" s="4" t="s">
        <v>69</v>
      </c>
      <c r="I27" s="4" t="n">
        <v>130</v>
      </c>
      <c r="J27" s="6" t="n">
        <v>0.0949245283018868</v>
      </c>
      <c r="K27" s="6" t="n">
        <v>0.221490566037736</v>
      </c>
      <c r="L27" s="4" t="s">
        <v>724</v>
      </c>
    </row>
    <row r="28" customFormat="false" ht="15" hidden="false" customHeight="false" outlineLevel="0" collapsed="false">
      <c r="A28" s="5" t="s">
        <v>743</v>
      </c>
      <c r="B28" s="4" t="s">
        <v>742</v>
      </c>
      <c r="C28" s="4" t="n">
        <v>1</v>
      </c>
      <c r="D28" s="6" t="n">
        <v>0.79</v>
      </c>
      <c r="E28" s="6" t="n">
        <f aca="false">C28*D28</f>
        <v>0.79</v>
      </c>
      <c r="F28" s="4" t="n">
        <v>200</v>
      </c>
      <c r="G28" s="4" t="n">
        <v>265</v>
      </c>
      <c r="H28" s="4" t="s">
        <v>69</v>
      </c>
      <c r="I28" s="4" t="n">
        <v>65</v>
      </c>
      <c r="J28" s="6" t="n">
        <v>0.0581320754716981</v>
      </c>
      <c r="K28" s="6" t="n">
        <v>0.135641509433962</v>
      </c>
      <c r="L28" s="4" t="s">
        <v>740</v>
      </c>
    </row>
    <row r="29" customFormat="false" ht="15" hidden="false" customHeight="false" outlineLevel="0" collapsed="false">
      <c r="A29" s="5" t="s">
        <v>744</v>
      </c>
      <c r="B29" s="4" t="s">
        <v>742</v>
      </c>
      <c r="C29" s="4" t="n">
        <v>1</v>
      </c>
      <c r="D29" s="6" t="n">
        <v>1.29</v>
      </c>
      <c r="E29" s="6" t="n">
        <f aca="false">C29*D29</f>
        <v>1.29</v>
      </c>
      <c r="F29" s="4" t="n">
        <v>180</v>
      </c>
      <c r="G29" s="4" t="n">
        <v>1000</v>
      </c>
      <c r="H29" s="4" t="s">
        <v>69</v>
      </c>
      <c r="I29" s="4" t="n">
        <v>820</v>
      </c>
      <c r="J29" s="6" t="n">
        <v>0</v>
      </c>
      <c r="K29" s="6" t="n">
        <v>1.0578</v>
      </c>
      <c r="L29" s="4" t="s">
        <v>720</v>
      </c>
    </row>
    <row r="30" customFormat="false" ht="15" hidden="false" customHeight="false" outlineLevel="0" collapsed="false">
      <c r="A30" s="5" t="s">
        <v>745</v>
      </c>
      <c r="B30" s="4" t="s">
        <v>742</v>
      </c>
      <c r="C30" s="4" t="n">
        <v>1</v>
      </c>
      <c r="D30" s="6" t="n">
        <v>1.05</v>
      </c>
      <c r="E30" s="6" t="n">
        <f aca="false">C30*D30</f>
        <v>1.05</v>
      </c>
      <c r="F30" s="4" t="n">
        <v>200</v>
      </c>
      <c r="G30" s="4" t="n">
        <v>500</v>
      </c>
      <c r="H30" s="4" t="s">
        <v>69</v>
      </c>
      <c r="I30" s="4" t="n">
        <v>300</v>
      </c>
      <c r="J30" s="6" t="n">
        <v>0</v>
      </c>
      <c r="K30" s="6" t="n">
        <v>0.63</v>
      </c>
      <c r="L30" s="4" t="s">
        <v>740</v>
      </c>
    </row>
    <row r="31" customFormat="false" ht="15" hidden="false" customHeight="false" outlineLevel="0" collapsed="false">
      <c r="A31" s="5" t="s">
        <v>746</v>
      </c>
      <c r="B31" s="4" t="s">
        <v>742</v>
      </c>
      <c r="C31" s="4" t="n">
        <v>1</v>
      </c>
      <c r="D31" s="6" t="n">
        <v>0.75</v>
      </c>
      <c r="E31" s="6" t="n">
        <f aca="false">C31*D31</f>
        <v>0.75</v>
      </c>
      <c r="F31" s="4" t="n">
        <v>450</v>
      </c>
      <c r="G31" s="4" t="n">
        <v>500</v>
      </c>
      <c r="H31" s="4" t="s">
        <v>69</v>
      </c>
      <c r="I31" s="4" t="n">
        <v>50</v>
      </c>
      <c r="J31" s="6" t="n">
        <v>0</v>
      </c>
      <c r="K31" s="6" t="n">
        <v>0.075</v>
      </c>
      <c r="L31" s="4" t="s">
        <v>747</v>
      </c>
    </row>
    <row r="32" customFormat="false" ht="15" hidden="false" customHeight="false" outlineLevel="0" collapsed="false">
      <c r="A32" s="9" t="s">
        <v>748</v>
      </c>
      <c r="E32" s="17" t="n">
        <f aca="false">SUM(E16:E31)</f>
        <v>28.03</v>
      </c>
      <c r="J32" s="17" t="n">
        <f aca="false">SUM(J16:J31)</f>
        <v>2.14512737300435</v>
      </c>
      <c r="K32" s="17" t="n">
        <f aca="false">SUM(K16:K31)</f>
        <v>6.78342843910806</v>
      </c>
    </row>
    <row r="33" customFormat="false" ht="15" hidden="false" customHeight="false" outlineLevel="0" collapsed="false">
      <c r="A33" s="18" t="s">
        <v>19</v>
      </c>
      <c r="B33" s="18" t="s">
        <v>749</v>
      </c>
      <c r="C33" s="4" t="n">
        <v>1</v>
      </c>
      <c r="D33" s="6" t="n">
        <v>4.75</v>
      </c>
      <c r="E33" s="6" t="n">
        <f aca="false">C33*D33</f>
        <v>4.75</v>
      </c>
      <c r="L33" s="4" t="s">
        <v>750</v>
      </c>
    </row>
    <row r="34" customFormat="false" ht="15" hidden="false" customHeight="false" outlineLevel="0" collapsed="false">
      <c r="A34" s="18" t="s">
        <v>20</v>
      </c>
      <c r="B34" s="18" t="s">
        <v>749</v>
      </c>
      <c r="C34" s="4" t="n">
        <v>1</v>
      </c>
      <c r="D34" s="6" t="n">
        <v>2.15</v>
      </c>
      <c r="E34" s="6" t="n">
        <f aca="false">C34*D34</f>
        <v>2.15</v>
      </c>
      <c r="L34" s="4" t="s">
        <v>751</v>
      </c>
    </row>
    <row r="35" customFormat="false" ht="15" hidden="false" customHeight="false" outlineLevel="0" collapsed="false">
      <c r="A35" s="9" t="s">
        <v>752</v>
      </c>
      <c r="E35" s="17" t="n">
        <f aca="false">E32+E33+E34</f>
        <v>34.93</v>
      </c>
    </row>
    <row r="37" customFormat="false" ht="16.15" hidden="false" customHeight="false" outlineLevel="0" collapsed="false">
      <c r="A37" s="1" t="s">
        <v>753</v>
      </c>
    </row>
    <row r="38" customFormat="false" ht="26.85" hidden="false" customHeight="false" outlineLevel="0" collapsed="false">
      <c r="A38" s="3" t="s">
        <v>754</v>
      </c>
      <c r="B38" s="3" t="s">
        <v>708</v>
      </c>
      <c r="C38" s="3" t="s">
        <v>63</v>
      </c>
      <c r="D38" s="3" t="s">
        <v>755</v>
      </c>
      <c r="E38" s="3" t="s">
        <v>711</v>
      </c>
      <c r="F38" s="3" t="s">
        <v>756</v>
      </c>
      <c r="G38" s="3" t="s">
        <v>757</v>
      </c>
      <c r="H38" s="3" t="s">
        <v>64</v>
      </c>
      <c r="I38" s="3" t="s">
        <v>758</v>
      </c>
      <c r="J38" s="3"/>
      <c r="K38" s="3" t="s">
        <v>759</v>
      </c>
      <c r="L38" s="3" t="s">
        <v>717</v>
      </c>
    </row>
    <row r="39" customFormat="false" ht="15" hidden="false" customHeight="false" outlineLevel="0" collapsed="false">
      <c r="A39" s="19" t="s">
        <v>308</v>
      </c>
      <c r="B39" s="10" t="s">
        <v>760</v>
      </c>
      <c r="C39" s="4" t="n">
        <v>1</v>
      </c>
      <c r="D39" s="6" t="n">
        <v>2.45</v>
      </c>
      <c r="E39" s="6" t="n">
        <f aca="false">C39*D39</f>
        <v>2.45</v>
      </c>
      <c r="F39" s="4" t="n">
        <v>30</v>
      </c>
      <c r="G39" s="4" t="n">
        <v>250</v>
      </c>
      <c r="H39" s="4" t="s">
        <v>69</v>
      </c>
      <c r="I39" s="4" t="n">
        <v>220</v>
      </c>
      <c r="K39" s="6" t="n">
        <f aca="false">D39*I39/G39</f>
        <v>2.156</v>
      </c>
      <c r="L39" s="4" t="s">
        <v>761</v>
      </c>
    </row>
    <row r="40" customFormat="false" ht="15" hidden="false" customHeight="false" outlineLevel="0" collapsed="false">
      <c r="A40" s="19" t="s">
        <v>221</v>
      </c>
      <c r="B40" s="10" t="s">
        <v>760</v>
      </c>
      <c r="C40" s="4" t="n">
        <v>1</v>
      </c>
      <c r="D40" s="6" t="n">
        <v>1.79</v>
      </c>
      <c r="E40" s="6" t="n">
        <f aca="false">C40*D40</f>
        <v>1.79</v>
      </c>
      <c r="F40" s="4" t="n">
        <v>16</v>
      </c>
      <c r="G40" s="4" t="n">
        <v>180</v>
      </c>
      <c r="H40" s="4" t="s">
        <v>69</v>
      </c>
      <c r="I40" s="4" t="n">
        <v>164</v>
      </c>
      <c r="K40" s="6" t="n">
        <f aca="false">D40*I40/G40</f>
        <v>1.63088888888889</v>
      </c>
      <c r="L40" s="4" t="s">
        <v>762</v>
      </c>
    </row>
    <row r="41" customFormat="false" ht="15" hidden="false" customHeight="false" outlineLevel="0" collapsed="false">
      <c r="A41" s="19" t="s">
        <v>90</v>
      </c>
      <c r="B41" s="10" t="s">
        <v>760</v>
      </c>
      <c r="C41" s="4" t="n">
        <v>1</v>
      </c>
      <c r="D41" s="6" t="n">
        <v>2.15</v>
      </c>
      <c r="E41" s="6" t="n">
        <f aca="false">C41*D41</f>
        <v>2.15</v>
      </c>
      <c r="F41" s="4" t="n">
        <v>50</v>
      </c>
      <c r="G41" s="4" t="n">
        <v>1000</v>
      </c>
      <c r="H41" s="4" t="s">
        <v>74</v>
      </c>
      <c r="I41" s="4" t="n">
        <v>950</v>
      </c>
      <c r="K41" s="6" t="n">
        <f aca="false">D41*I41/G41</f>
        <v>2.0425</v>
      </c>
      <c r="L41" s="4" t="s">
        <v>762</v>
      </c>
    </row>
    <row r="42" customFormat="false" ht="15" hidden="false" customHeight="false" outlineLevel="0" collapsed="false">
      <c r="A42" s="19" t="s">
        <v>304</v>
      </c>
      <c r="B42" s="10" t="s">
        <v>760</v>
      </c>
      <c r="C42" s="4" t="n">
        <v>1</v>
      </c>
      <c r="D42" s="6" t="n">
        <v>1.85</v>
      </c>
      <c r="E42" s="6" t="n">
        <f aca="false">C42*D42</f>
        <v>1.85</v>
      </c>
      <c r="F42" s="4" t="n">
        <v>30</v>
      </c>
      <c r="G42" s="4" t="n">
        <v>430</v>
      </c>
      <c r="H42" s="4" t="s">
        <v>69</v>
      </c>
      <c r="I42" s="4" t="n">
        <v>400</v>
      </c>
      <c r="K42" s="6" t="n">
        <f aca="false">D42*I42/G42</f>
        <v>1.72093023255814</v>
      </c>
      <c r="L42" s="4" t="s">
        <v>727</v>
      </c>
    </row>
    <row r="43" customFormat="false" ht="15" hidden="false" customHeight="false" outlineLevel="0" collapsed="false">
      <c r="A43" s="19" t="s">
        <v>456</v>
      </c>
      <c r="B43" s="10" t="s">
        <v>760</v>
      </c>
      <c r="C43" s="4" t="n">
        <v>1</v>
      </c>
      <c r="D43" s="6" t="n">
        <v>3.99</v>
      </c>
      <c r="E43" s="6" t="n">
        <f aca="false">C43*D43</f>
        <v>3.99</v>
      </c>
      <c r="F43" s="4" t="n">
        <v>14</v>
      </c>
      <c r="G43" s="4" t="n">
        <v>240</v>
      </c>
      <c r="H43" s="4" t="s">
        <v>69</v>
      </c>
      <c r="I43" s="4" t="n">
        <v>226</v>
      </c>
      <c r="K43" s="6" t="n">
        <f aca="false">D43*I43/G43</f>
        <v>3.75725</v>
      </c>
      <c r="L43" s="4" t="s">
        <v>740</v>
      </c>
    </row>
    <row r="44" customFormat="false" ht="15" hidden="false" customHeight="false" outlineLevel="0" collapsed="false">
      <c r="A44" s="19" t="s">
        <v>97</v>
      </c>
      <c r="B44" s="10" t="s">
        <v>760</v>
      </c>
      <c r="C44" s="4" t="n">
        <v>1</v>
      </c>
      <c r="D44" s="6" t="n">
        <v>0.5</v>
      </c>
      <c r="E44" s="6" t="n">
        <f aca="false">C44*D44</f>
        <v>0.5</v>
      </c>
      <c r="F44" s="4" t="n">
        <v>12</v>
      </c>
      <c r="G44" s="4" t="n">
        <v>100</v>
      </c>
      <c r="H44" s="4" t="s">
        <v>69</v>
      </c>
      <c r="I44" s="4" t="n">
        <v>88</v>
      </c>
      <c r="K44" s="6" t="n">
        <f aca="false">D44*I44/G44</f>
        <v>0.44</v>
      </c>
      <c r="L44" s="4" t="s">
        <v>763</v>
      </c>
    </row>
    <row r="45" customFormat="false" ht="15" hidden="false" customHeight="false" outlineLevel="0" collapsed="false">
      <c r="A45" s="9" t="s">
        <v>764</v>
      </c>
      <c r="E45" s="17" t="n">
        <f aca="false">SUM(E39:E44)</f>
        <v>12.73</v>
      </c>
    </row>
    <row r="47" customFormat="false" ht="16.15" hidden="false" customHeight="false" outlineLevel="0" collapsed="false">
      <c r="A47" s="1" t="s">
        <v>765</v>
      </c>
    </row>
    <row r="48" customFormat="false" ht="15" hidden="false" customHeight="false" outlineLevel="0" collapsed="false">
      <c r="A48" s="4" t="s">
        <v>766</v>
      </c>
      <c r="E48" s="6" t="n">
        <f aca="false">E35</f>
        <v>34.93</v>
      </c>
    </row>
    <row r="49" customFormat="false" ht="15" hidden="false" customHeight="false" outlineLevel="0" collapsed="false">
      <c r="A49" s="4" t="s">
        <v>767</v>
      </c>
      <c r="E49" s="6" t="n">
        <f aca="false">E45</f>
        <v>12.73</v>
      </c>
    </row>
    <row r="50" customFormat="false" ht="15" hidden="false" customHeight="false" outlineLevel="0" collapsed="false">
      <c r="A50" s="9" t="s">
        <v>768</v>
      </c>
      <c r="E50" s="17" t="n">
        <f aca="false">E35+E45</f>
        <v>47.66</v>
      </c>
    </row>
    <row r="51" customFormat="false" ht="15" hidden="false" customHeight="false" outlineLevel="0" collapsed="false">
      <c r="A51" s="4" t="s">
        <v>769</v>
      </c>
      <c r="E51" s="6" t="n">
        <v>55</v>
      </c>
    </row>
    <row r="52" customFormat="false" ht="15" hidden="false" customHeight="false" outlineLevel="0" collapsed="false">
      <c r="A52" s="4" t="s">
        <v>770</v>
      </c>
      <c r="E52" s="6" t="n">
        <f aca="false">E51-E50</f>
        <v>7.34</v>
      </c>
    </row>
    <row r="53" customFormat="false" ht="15" hidden="false" customHeight="false" outlineLevel="0" collapsed="false">
      <c r="A53" s="4" t="s">
        <v>771</v>
      </c>
      <c r="E53" s="6" t="n">
        <f aca="false">J32</f>
        <v>2.14512737300435</v>
      </c>
    </row>
    <row r="54" customFormat="false" ht="15" hidden="false" customHeight="false" outlineLevel="0" collapsed="false">
      <c r="A54" s="4" t="s">
        <v>772</v>
      </c>
      <c r="E54" s="20" t="n">
        <f aca="false">J32/E35</f>
        <v>0.0614121778701504</v>
      </c>
    </row>
    <row r="55" customFormat="false" ht="15" hidden="false" customHeight="false" outlineLevel="0" collapsed="false">
      <c r="A55" s="4" t="s">
        <v>773</v>
      </c>
      <c r="E55" s="6" t="n">
        <f aca="false">K32</f>
        <v>6.78342843910806</v>
      </c>
    </row>
    <row r="56" customFormat="false" ht="15" hidden="false" customHeight="false" outlineLevel="0" collapsed="false">
      <c r="A56" s="4" t="s">
        <v>774</v>
      </c>
      <c r="E56" s="6" t="n">
        <f aca="false">(E35+E45)/14</f>
        <v>3.40428571428571</v>
      </c>
    </row>
    <row r="57" customFormat="false" ht="15" hidden="false" customHeight="false" outlineLevel="0" collapsed="false">
      <c r="A57" s="4" t="s">
        <v>775</v>
      </c>
      <c r="E57" s="6" t="n">
        <f aca="false">E35</f>
        <v>34.93</v>
      </c>
    </row>
    <row r="60" customFormat="false" ht="16.15" hidden="false" customHeight="false" outlineLevel="0" collapsed="false">
      <c r="A60" s="1" t="s">
        <v>776</v>
      </c>
    </row>
    <row r="61" customFormat="false" ht="15" hidden="false" customHeight="false" outlineLevel="0" collapsed="false">
      <c r="A61" s="21" t="s">
        <v>777</v>
      </c>
    </row>
    <row r="62" customFormat="false" ht="30" hidden="false" customHeight="true" outlineLevel="0" collapsed="false">
      <c r="A62" s="9" t="s">
        <v>62</v>
      </c>
      <c r="B62" s="5" t="s">
        <v>778</v>
      </c>
      <c r="C62" s="5"/>
      <c r="D62" s="5"/>
      <c r="E62" s="5"/>
      <c r="F62" s="5"/>
      <c r="G62" s="5"/>
      <c r="H62" s="5"/>
      <c r="I62" s="5"/>
      <c r="J62" s="5"/>
      <c r="K62" s="5"/>
      <c r="L62" s="5"/>
    </row>
    <row r="63" customFormat="false" ht="18" hidden="false" customHeight="true" outlineLevel="0" collapsed="false">
      <c r="A63" s="4" t="s">
        <v>779</v>
      </c>
      <c r="B63" s="5" t="s">
        <v>311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18" hidden="false" customHeight="true" outlineLevel="0" collapsed="false">
      <c r="A64" s="4" t="s">
        <v>780</v>
      </c>
      <c r="B64" s="5" t="s">
        <v>312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8" hidden="false" customHeight="true" outlineLevel="0" collapsed="false">
      <c r="A65" s="4" t="s">
        <v>781</v>
      </c>
      <c r="B65" s="5" t="s">
        <v>313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8" hidden="false" customHeight="true" outlineLevel="0" collapsed="false">
      <c r="A66" s="4" t="s">
        <v>782</v>
      </c>
      <c r="B66" s="5" t="s">
        <v>314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783</v>
      </c>
      <c r="B67" s="5" t="s">
        <v>315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30" hidden="false" customHeight="true" outlineLevel="0" collapsed="false">
      <c r="A68" s="4" t="s">
        <v>784</v>
      </c>
      <c r="B68" s="5" t="s">
        <v>316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30" hidden="false" customHeight="true" outlineLevel="0" collapsed="false">
      <c r="A69" s="4" t="s">
        <v>785</v>
      </c>
      <c r="B69" s="5" t="s">
        <v>317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1" customFormat="false" ht="15" hidden="false" customHeight="false" outlineLevel="0" collapsed="false">
      <c r="A71" s="21" t="s">
        <v>786</v>
      </c>
    </row>
    <row r="72" customFormat="false" ht="45" hidden="false" customHeight="true" outlineLevel="0" collapsed="false">
      <c r="A72" s="9" t="s">
        <v>62</v>
      </c>
      <c r="B72" s="5" t="s">
        <v>787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18" hidden="false" customHeight="true" outlineLevel="0" collapsed="false">
      <c r="A73" s="4" t="s">
        <v>779</v>
      </c>
      <c r="B73" s="5" t="s">
        <v>465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30" hidden="false" customHeight="true" outlineLevel="0" collapsed="false">
      <c r="A74" s="4" t="s">
        <v>780</v>
      </c>
      <c r="B74" s="5" t="s">
        <v>466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781</v>
      </c>
      <c r="B75" s="5" t="s">
        <v>467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782</v>
      </c>
      <c r="B76" s="5" t="s">
        <v>468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783</v>
      </c>
      <c r="B77" s="5" t="s">
        <v>469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30" hidden="false" customHeight="true" outlineLevel="0" collapsed="false">
      <c r="A78" s="4" t="s">
        <v>784</v>
      </c>
      <c r="B78" s="5" t="s">
        <v>470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30" hidden="false" customHeight="true" outlineLevel="0" collapsed="false">
      <c r="A79" s="4" t="s">
        <v>785</v>
      </c>
      <c r="B79" s="5" t="s">
        <v>471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1" customFormat="false" ht="15" hidden="false" customHeight="false" outlineLevel="0" collapsed="false">
      <c r="A81" s="21" t="s">
        <v>788</v>
      </c>
    </row>
    <row r="82" customFormat="false" ht="30" hidden="false" customHeight="true" outlineLevel="0" collapsed="false">
      <c r="A82" s="9" t="s">
        <v>62</v>
      </c>
      <c r="B82" s="5" t="s">
        <v>789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18" hidden="false" customHeight="true" outlineLevel="0" collapsed="false">
      <c r="A83" s="4" t="s">
        <v>779</v>
      </c>
      <c r="B83" s="5" t="s">
        <v>199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30" hidden="false" customHeight="true" outlineLevel="0" collapsed="false">
      <c r="A84" s="4" t="s">
        <v>780</v>
      </c>
      <c r="B84" s="5" t="s">
        <v>200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781</v>
      </c>
      <c r="B85" s="5" t="s">
        <v>201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4" t="s">
        <v>782</v>
      </c>
      <c r="B86" s="5" t="s">
        <v>202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30" hidden="false" customHeight="true" outlineLevel="0" collapsed="false">
      <c r="A87" s="4" t="s">
        <v>783</v>
      </c>
      <c r="B87" s="5" t="s">
        <v>203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784</v>
      </c>
      <c r="B88" s="5" t="s">
        <v>204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90" customFormat="false" ht="15" hidden="false" customHeight="false" outlineLevel="0" collapsed="false">
      <c r="A90" s="21" t="s">
        <v>790</v>
      </c>
    </row>
    <row r="91" customFormat="false" ht="30" hidden="false" customHeight="true" outlineLevel="0" collapsed="false">
      <c r="A91" s="9" t="s">
        <v>62</v>
      </c>
      <c r="B91" s="5" t="s">
        <v>791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2" customFormat="false" ht="30" hidden="false" customHeight="true" outlineLevel="0" collapsed="false">
      <c r="A92" s="4" t="s">
        <v>779</v>
      </c>
      <c r="B92" s="5" t="s">
        <v>290</v>
      </c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18" hidden="false" customHeight="true" outlineLevel="0" collapsed="false">
      <c r="A93" s="4" t="s">
        <v>780</v>
      </c>
      <c r="B93" s="5" t="s">
        <v>291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4" t="s">
        <v>781</v>
      </c>
      <c r="B94" s="5" t="s">
        <v>292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782</v>
      </c>
      <c r="B95" s="5" t="s">
        <v>293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783</v>
      </c>
      <c r="B96" s="5" t="s">
        <v>294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8" hidden="false" customHeight="true" outlineLevel="0" collapsed="false">
      <c r="A97" s="4" t="s">
        <v>784</v>
      </c>
      <c r="B97" s="5" t="s">
        <v>295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785</v>
      </c>
      <c r="B98" s="5" t="s">
        <v>296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100" customFormat="false" ht="15" hidden="false" customHeight="false" outlineLevel="0" collapsed="false">
      <c r="A100" s="21" t="s">
        <v>792</v>
      </c>
    </row>
    <row r="101" customFormat="false" ht="30" hidden="false" customHeight="true" outlineLevel="0" collapsed="false">
      <c r="A101" s="9" t="s">
        <v>62</v>
      </c>
      <c r="B101" s="5" t="s">
        <v>793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18" hidden="false" customHeight="true" outlineLevel="0" collapsed="false">
      <c r="A102" s="4" t="s">
        <v>779</v>
      </c>
      <c r="B102" s="5" t="s">
        <v>435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customFormat="false" ht="18" hidden="false" customHeight="true" outlineLevel="0" collapsed="false">
      <c r="A103" s="4" t="s">
        <v>780</v>
      </c>
      <c r="B103" s="5" t="s">
        <v>436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8" hidden="false" customHeight="true" outlineLevel="0" collapsed="false">
      <c r="A104" s="4" t="s">
        <v>781</v>
      </c>
      <c r="B104" s="5" t="s">
        <v>437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782</v>
      </c>
      <c r="B105" s="5" t="s">
        <v>438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783</v>
      </c>
      <c r="B106" s="5" t="s">
        <v>439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8" hidden="false" customHeight="true" outlineLevel="0" collapsed="false">
      <c r="A107" s="4" t="s">
        <v>784</v>
      </c>
      <c r="B107" s="5" t="s">
        <v>440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785</v>
      </c>
      <c r="B108" s="5" t="s">
        <v>441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</sheetData>
  <mergeCells count="39">
    <mergeCell ref="B62:L62"/>
    <mergeCell ref="B63:L63"/>
    <mergeCell ref="B64:L64"/>
    <mergeCell ref="B65:L65"/>
    <mergeCell ref="B66:L66"/>
    <mergeCell ref="B67:L67"/>
    <mergeCell ref="B68:L68"/>
    <mergeCell ref="B69:L69"/>
    <mergeCell ref="B72:L72"/>
    <mergeCell ref="B73:L73"/>
    <mergeCell ref="B74:L74"/>
    <mergeCell ref="B75:L75"/>
    <mergeCell ref="B76:L76"/>
    <mergeCell ref="B77:L77"/>
    <mergeCell ref="B78:L78"/>
    <mergeCell ref="B79:L79"/>
    <mergeCell ref="B82:L82"/>
    <mergeCell ref="B83:L83"/>
    <mergeCell ref="B84:L84"/>
    <mergeCell ref="B85:L85"/>
    <mergeCell ref="B86:L86"/>
    <mergeCell ref="B87:L87"/>
    <mergeCell ref="B88:L88"/>
    <mergeCell ref="B91:L91"/>
    <mergeCell ref="B92:L92"/>
    <mergeCell ref="B93:L93"/>
    <mergeCell ref="B94:L94"/>
    <mergeCell ref="B95:L95"/>
    <mergeCell ref="B96:L96"/>
    <mergeCell ref="B97:L97"/>
    <mergeCell ref="B98:L98"/>
    <mergeCell ref="B101:L101"/>
    <mergeCell ref="B102:L102"/>
    <mergeCell ref="B103:L103"/>
    <mergeCell ref="B104:L104"/>
    <mergeCell ref="B105:L105"/>
    <mergeCell ref="B106:L106"/>
    <mergeCell ref="B107:L107"/>
    <mergeCell ref="B108:L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794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795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136</v>
      </c>
      <c r="D6" s="4" t="n">
        <f aca="false">ROUND(Nutrition!H41,0)</f>
        <v>766</v>
      </c>
      <c r="E6" s="5" t="s">
        <v>796</v>
      </c>
      <c r="F6" s="5"/>
      <c r="G6" s="4" t="str">
        <f aca="false">ROUND(Nutrition!I41,0)&amp;" / "&amp;ROUND(Nutrition!J41,0)&amp;" / "&amp;ROUND(Nutrition!K41,0)</f>
        <v>44 / 71 / 33</v>
      </c>
    </row>
    <row r="7" customFormat="false" ht="31.5" hidden="false" customHeight="true" outlineLevel="0" collapsed="false">
      <c r="A7" s="4" t="s">
        <v>686</v>
      </c>
      <c r="B7" s="5" t="s">
        <v>797</v>
      </c>
      <c r="C7" s="16" t="s">
        <v>110</v>
      </c>
      <c r="D7" s="4" t="n">
        <f aca="false">ROUND(Nutrition!H29,0)</f>
        <v>826</v>
      </c>
      <c r="E7" s="5" t="s">
        <v>798</v>
      </c>
      <c r="F7" s="5"/>
      <c r="G7" s="4" t="str">
        <f aca="false">ROUND(Nutrition!I29,0)&amp;" / "&amp;ROUND(Nutrition!J29,0)&amp;" / "&amp;ROUND(Nutrition!K29,0)</f>
        <v>29 / 87 / 41</v>
      </c>
    </row>
    <row r="8" customFormat="false" ht="31.5" hidden="false" customHeight="true" outlineLevel="0" collapsed="false">
      <c r="A8" s="4" t="s">
        <v>689</v>
      </c>
      <c r="B8" s="5" t="s">
        <v>799</v>
      </c>
      <c r="C8" s="16" t="s">
        <v>568</v>
      </c>
      <c r="D8" s="4" t="n">
        <f aca="false">ROUND(Nutrition!H356,0)</f>
        <v>716</v>
      </c>
      <c r="E8" s="5" t="s">
        <v>800</v>
      </c>
      <c r="F8" s="5" t="s">
        <v>571</v>
      </c>
      <c r="G8" s="4" t="str">
        <f aca="false">ROUND(Nutrition!I356,0)&amp;" / "&amp;ROUND(Nutrition!J356,0)&amp;" / "&amp;ROUND(Nutrition!K356,0)</f>
        <v>36 / 45 / 42</v>
      </c>
    </row>
    <row r="9" customFormat="false" ht="31.5" hidden="false" customHeight="true" outlineLevel="0" collapsed="false">
      <c r="A9" s="4" t="s">
        <v>692</v>
      </c>
      <c r="B9" s="5" t="s">
        <v>801</v>
      </c>
      <c r="C9" s="16" t="s">
        <v>550</v>
      </c>
      <c r="D9" s="4" t="n">
        <f aca="false">ROUND(Nutrition!H339,0)</f>
        <v>738</v>
      </c>
      <c r="E9" s="5" t="s">
        <v>796</v>
      </c>
      <c r="F9" s="5" t="s">
        <v>552</v>
      </c>
      <c r="G9" s="4" t="str">
        <f aca="false">ROUND(Nutrition!I339,0)&amp;" / "&amp;ROUND(Nutrition!J339,0)&amp;" / "&amp;ROUND(Nutrition!K339,0)</f>
        <v>39 / 103 / 18</v>
      </c>
    </row>
    <row r="10" customFormat="false" ht="31.5" hidden="false" customHeight="true" outlineLevel="0" collapsed="false">
      <c r="A10" s="4" t="s">
        <v>695</v>
      </c>
      <c r="B10" s="5" t="s">
        <v>802</v>
      </c>
      <c r="C10" s="16" t="s">
        <v>609</v>
      </c>
      <c r="D10" s="4" t="n">
        <f aca="false">ROUND(Nutrition!H382,0)</f>
        <v>807</v>
      </c>
      <c r="E10" s="5" t="s">
        <v>803</v>
      </c>
      <c r="F10" s="5" t="s">
        <v>613</v>
      </c>
      <c r="G10" s="4" t="str">
        <f aca="false">ROUND(Nutrition!I382,0)&amp;" / "&amp;ROUND(Nutrition!J382,0)&amp;" / "&amp;ROUND(Nutrition!K382,0)</f>
        <v>34 / 105 / 26</v>
      </c>
    </row>
    <row r="11" customFormat="false" ht="64.9" hidden="false" customHeight="false" outlineLevel="0" collapsed="false">
      <c r="A11" s="4" t="s">
        <v>698</v>
      </c>
      <c r="B11" s="5" t="s">
        <v>804</v>
      </c>
      <c r="C11" s="4" t="s">
        <v>805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805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806</v>
      </c>
      <c r="B16" s="4" t="s">
        <v>719</v>
      </c>
      <c r="C16" s="4" t="n">
        <v>1</v>
      </c>
      <c r="D16" s="6" t="n">
        <v>3.25</v>
      </c>
      <c r="E16" s="6" t="n">
        <f aca="false">C16*D16</f>
        <v>3.25</v>
      </c>
      <c r="F16" s="4" t="n">
        <v>280</v>
      </c>
      <c r="G16" s="4" t="n">
        <v>280</v>
      </c>
      <c r="H16" s="4" t="s">
        <v>69</v>
      </c>
      <c r="I16" s="4" t="n">
        <v>0</v>
      </c>
      <c r="J16" s="6" t="n">
        <v>0</v>
      </c>
      <c r="K16" s="6" t="n">
        <v>0</v>
      </c>
      <c r="L16" s="4" t="s">
        <v>807</v>
      </c>
    </row>
    <row r="17" customFormat="false" ht="15" hidden="false" customHeight="false" outlineLevel="0" collapsed="false">
      <c r="A17" s="5" t="s">
        <v>721</v>
      </c>
      <c r="B17" s="4" t="s">
        <v>719</v>
      </c>
      <c r="C17" s="4" t="n">
        <v>1</v>
      </c>
      <c r="D17" s="6" t="n">
        <v>2.09</v>
      </c>
      <c r="E17" s="6" t="n">
        <f aca="false">C17*D17</f>
        <v>2.09</v>
      </c>
      <c r="F17" s="4" t="n">
        <v>120</v>
      </c>
      <c r="G17" s="4" t="n">
        <v>200</v>
      </c>
      <c r="H17" s="4" t="s">
        <v>69</v>
      </c>
      <c r="I17" s="4" t="n">
        <v>80</v>
      </c>
      <c r="J17" s="6" t="n">
        <v>0.418</v>
      </c>
      <c r="K17" s="6" t="n">
        <v>0.418</v>
      </c>
      <c r="L17" s="4" t="s">
        <v>808</v>
      </c>
    </row>
    <row r="18" customFormat="false" ht="15" hidden="false" customHeight="false" outlineLevel="0" collapsed="false">
      <c r="A18" s="5" t="s">
        <v>725</v>
      </c>
      <c r="B18" s="4" t="s">
        <v>726</v>
      </c>
      <c r="C18" s="4" t="n">
        <v>1</v>
      </c>
      <c r="D18" s="6" t="n">
        <v>0.75</v>
      </c>
      <c r="E18" s="6" t="n">
        <f aca="false">C18*D18</f>
        <v>0.75</v>
      </c>
      <c r="F18" s="4" t="n">
        <v>170</v>
      </c>
      <c r="G18" s="4" t="n">
        <v>200</v>
      </c>
      <c r="H18" s="4" t="s">
        <v>74</v>
      </c>
      <c r="I18" s="4" t="n">
        <v>30</v>
      </c>
      <c r="J18" s="6" t="n">
        <v>0.03375</v>
      </c>
      <c r="K18" s="6" t="n">
        <v>0.07875</v>
      </c>
      <c r="L18" s="4" t="s">
        <v>807</v>
      </c>
    </row>
    <row r="19" customFormat="false" ht="15" hidden="false" customHeight="false" outlineLevel="0" collapsed="false">
      <c r="A19" s="5" t="s">
        <v>728</v>
      </c>
      <c r="B19" s="4" t="s">
        <v>726</v>
      </c>
      <c r="C19" s="4" t="n">
        <v>1</v>
      </c>
      <c r="D19" s="6" t="n">
        <v>0.69</v>
      </c>
      <c r="E19" s="6" t="n">
        <f aca="false">C19*D19</f>
        <v>0.69</v>
      </c>
      <c r="F19" s="4" t="n">
        <v>200</v>
      </c>
      <c r="G19" s="4" t="n">
        <v>200</v>
      </c>
      <c r="H19" s="4" t="s">
        <v>74</v>
      </c>
      <c r="I19" s="4" t="n">
        <v>0</v>
      </c>
      <c r="J19" s="6" t="n">
        <v>0</v>
      </c>
      <c r="K19" s="6" t="n">
        <v>0</v>
      </c>
      <c r="L19" s="4" t="s">
        <v>808</v>
      </c>
    </row>
    <row r="20" customFormat="false" ht="15" hidden="false" customHeight="false" outlineLevel="0" collapsed="false">
      <c r="A20" s="5" t="s">
        <v>809</v>
      </c>
      <c r="B20" s="4" t="s">
        <v>726</v>
      </c>
      <c r="C20" s="4" t="n">
        <v>1</v>
      </c>
      <c r="D20" s="6" t="n">
        <v>2.09</v>
      </c>
      <c r="E20" s="6" t="n">
        <f aca="false">C20*D20</f>
        <v>2.09</v>
      </c>
      <c r="F20" s="4" t="n">
        <v>140</v>
      </c>
      <c r="G20" s="4" t="n">
        <v>210</v>
      </c>
      <c r="H20" s="4" t="s">
        <v>69</v>
      </c>
      <c r="I20" s="4" t="n">
        <v>70</v>
      </c>
      <c r="J20" s="6" t="n">
        <v>0.139333333333333</v>
      </c>
      <c r="K20" s="6" t="n">
        <v>0.557333333333333</v>
      </c>
      <c r="L20" s="4" t="s">
        <v>810</v>
      </c>
    </row>
    <row r="21" customFormat="false" ht="15" hidden="false" customHeight="false" outlineLevel="0" collapsed="false">
      <c r="A21" s="5" t="s">
        <v>811</v>
      </c>
      <c r="B21" s="4" t="s">
        <v>726</v>
      </c>
      <c r="C21" s="4" t="n">
        <v>1</v>
      </c>
      <c r="D21" s="6" t="n">
        <v>1.19</v>
      </c>
      <c r="E21" s="6" t="n">
        <f aca="false">C21*D21</f>
        <v>1.19</v>
      </c>
      <c r="F21" s="4" t="n">
        <v>60</v>
      </c>
      <c r="G21" s="4" t="n">
        <v>60</v>
      </c>
      <c r="H21" s="4" t="s">
        <v>69</v>
      </c>
      <c r="I21" s="4" t="n">
        <v>0</v>
      </c>
      <c r="J21" s="6" t="n">
        <v>0</v>
      </c>
      <c r="K21" s="6" t="n">
        <v>0</v>
      </c>
      <c r="L21" s="4" t="s">
        <v>812</v>
      </c>
    </row>
    <row r="22" customFormat="false" ht="15" hidden="false" customHeight="false" outlineLevel="0" collapsed="false">
      <c r="A22" s="5" t="s">
        <v>813</v>
      </c>
      <c r="B22" s="4" t="s">
        <v>726</v>
      </c>
      <c r="C22" s="4" t="n">
        <v>2</v>
      </c>
      <c r="D22" s="6" t="n">
        <v>1.15</v>
      </c>
      <c r="E22" s="6" t="n">
        <f aca="false">C22*D22</f>
        <v>2.3</v>
      </c>
      <c r="F22" s="4" t="n">
        <v>248</v>
      </c>
      <c r="G22" s="4" t="n">
        <v>250</v>
      </c>
      <c r="H22" s="4" t="s">
        <v>69</v>
      </c>
      <c r="I22" s="4" t="n">
        <v>2</v>
      </c>
      <c r="J22" s="6" t="n">
        <v>0.0184</v>
      </c>
      <c r="K22" s="6" t="n">
        <v>0</v>
      </c>
      <c r="L22" s="4" t="s">
        <v>814</v>
      </c>
    </row>
    <row r="23" customFormat="false" ht="15" hidden="false" customHeight="false" outlineLevel="0" collapsed="false">
      <c r="A23" s="5" t="s">
        <v>730</v>
      </c>
      <c r="B23" s="4" t="s">
        <v>726</v>
      </c>
      <c r="C23" s="4" t="n">
        <v>1</v>
      </c>
      <c r="D23" s="6" t="n">
        <v>1.69</v>
      </c>
      <c r="E23" s="6" t="n">
        <f aca="false">C23*D23</f>
        <v>1.69</v>
      </c>
      <c r="F23" s="4" t="n">
        <v>220</v>
      </c>
      <c r="G23" s="4" t="n">
        <v>330</v>
      </c>
      <c r="H23" s="4" t="s">
        <v>69</v>
      </c>
      <c r="I23" s="4" t="n">
        <v>110</v>
      </c>
      <c r="J23" s="6" t="n">
        <v>0</v>
      </c>
      <c r="K23" s="6" t="n">
        <v>0.563333333333333</v>
      </c>
      <c r="L23" s="4" t="s">
        <v>815</v>
      </c>
    </row>
    <row r="24" customFormat="false" ht="15" hidden="false" customHeight="false" outlineLevel="0" collapsed="false">
      <c r="A24" s="5" t="s">
        <v>816</v>
      </c>
      <c r="B24" s="4" t="s">
        <v>817</v>
      </c>
      <c r="C24" s="4" t="n">
        <v>1</v>
      </c>
      <c r="D24" s="6" t="n">
        <v>1.85</v>
      </c>
      <c r="E24" s="6" t="n">
        <f aca="false">C24*D24</f>
        <v>1.85</v>
      </c>
      <c r="F24" s="4" t="n">
        <v>500</v>
      </c>
      <c r="G24" s="4" t="n">
        <v>500</v>
      </c>
      <c r="H24" s="4" t="s">
        <v>69</v>
      </c>
      <c r="I24" s="4" t="n">
        <v>0</v>
      </c>
      <c r="J24" s="6" t="n">
        <v>0</v>
      </c>
      <c r="K24" s="6" t="n">
        <v>0</v>
      </c>
      <c r="L24" s="4" t="s">
        <v>808</v>
      </c>
    </row>
    <row r="25" customFormat="false" ht="15" hidden="false" customHeight="false" outlineLevel="0" collapsed="false">
      <c r="A25" s="5" t="s">
        <v>818</v>
      </c>
      <c r="B25" s="4" t="s">
        <v>732</v>
      </c>
      <c r="C25" s="4" t="n">
        <v>1</v>
      </c>
      <c r="D25" s="6" t="n">
        <v>0.85</v>
      </c>
      <c r="E25" s="6" t="n">
        <f aca="false">C25*D25</f>
        <v>0.85</v>
      </c>
      <c r="F25" s="4" t="n">
        <v>50</v>
      </c>
      <c r="G25" s="4" t="n">
        <v>100</v>
      </c>
      <c r="H25" s="4" t="s">
        <v>69</v>
      </c>
      <c r="I25" s="4" t="n">
        <v>50</v>
      </c>
      <c r="J25" s="6" t="n">
        <v>0.2125</v>
      </c>
      <c r="K25" s="6" t="n">
        <v>0.2125</v>
      </c>
      <c r="L25" s="4" t="s">
        <v>815</v>
      </c>
    </row>
    <row r="26" customFormat="false" ht="15" hidden="false" customHeight="false" outlineLevel="0" collapsed="false">
      <c r="A26" s="5" t="s">
        <v>819</v>
      </c>
      <c r="B26" s="4" t="s">
        <v>732</v>
      </c>
      <c r="C26" s="4" t="n">
        <v>2</v>
      </c>
      <c r="D26" s="6" t="n">
        <v>0.99</v>
      </c>
      <c r="E26" s="6" t="n">
        <f aca="false">C26*D26</f>
        <v>1.98</v>
      </c>
      <c r="F26" s="4" t="n">
        <v>350</v>
      </c>
      <c r="G26" s="4" t="n">
        <v>500</v>
      </c>
      <c r="H26" s="4" t="s">
        <v>69</v>
      </c>
      <c r="I26" s="4" t="n">
        <v>150</v>
      </c>
      <c r="J26" s="8" t="n">
        <v>0.594</v>
      </c>
      <c r="K26" s="6" t="n">
        <v>0</v>
      </c>
      <c r="L26" s="4" t="s">
        <v>815</v>
      </c>
    </row>
    <row r="27" customFormat="false" ht="15" hidden="false" customHeight="false" outlineLevel="0" collapsed="false">
      <c r="A27" s="5" t="s">
        <v>734</v>
      </c>
      <c r="B27" s="4" t="s">
        <v>732</v>
      </c>
      <c r="C27" s="4" t="n">
        <v>1</v>
      </c>
      <c r="D27" s="6" t="n">
        <v>2.69</v>
      </c>
      <c r="E27" s="6" t="n">
        <f aca="false">C27*D27</f>
        <v>2.69</v>
      </c>
      <c r="F27" s="4" t="n">
        <v>200</v>
      </c>
      <c r="G27" s="4" t="n">
        <v>1000</v>
      </c>
      <c r="H27" s="4" t="s">
        <v>69</v>
      </c>
      <c r="I27" s="4" t="n">
        <v>800</v>
      </c>
      <c r="J27" s="6" t="n">
        <v>0.4304</v>
      </c>
      <c r="K27" s="6" t="n">
        <v>1.7216</v>
      </c>
      <c r="L27" s="4" t="s">
        <v>820</v>
      </c>
    </row>
    <row r="28" customFormat="false" ht="15" hidden="false" customHeight="false" outlineLevel="0" collapsed="false">
      <c r="A28" s="5" t="s">
        <v>821</v>
      </c>
      <c r="B28" s="4" t="s">
        <v>732</v>
      </c>
      <c r="C28" s="4" t="n">
        <v>1</v>
      </c>
      <c r="D28" s="6" t="n">
        <v>1.95</v>
      </c>
      <c r="E28" s="6" t="n">
        <f aca="false">C28*D28</f>
        <v>1.95</v>
      </c>
      <c r="F28" s="4" t="n">
        <v>100</v>
      </c>
      <c r="G28" s="4" t="n">
        <v>100</v>
      </c>
      <c r="H28" s="4" t="s">
        <v>69</v>
      </c>
      <c r="I28" s="4" t="n">
        <v>0</v>
      </c>
      <c r="J28" s="6" t="n">
        <v>0</v>
      </c>
      <c r="K28" s="6" t="n">
        <v>0</v>
      </c>
      <c r="L28" s="4" t="s">
        <v>808</v>
      </c>
    </row>
    <row r="29" customFormat="false" ht="15" hidden="false" customHeight="false" outlineLevel="0" collapsed="false">
      <c r="A29" s="5" t="s">
        <v>822</v>
      </c>
      <c r="B29" s="4" t="s">
        <v>732</v>
      </c>
      <c r="C29" s="4" t="n">
        <v>1</v>
      </c>
      <c r="D29" s="6" t="n">
        <v>0.99</v>
      </c>
      <c r="E29" s="6" t="n">
        <f aca="false">C29*D29</f>
        <v>0.99</v>
      </c>
      <c r="F29" s="4" t="n">
        <v>250</v>
      </c>
      <c r="G29" s="4" t="n">
        <v>250</v>
      </c>
      <c r="H29" s="4" t="s">
        <v>69</v>
      </c>
      <c r="I29" s="4" t="n">
        <v>0</v>
      </c>
      <c r="J29" s="6" t="n">
        <v>0</v>
      </c>
      <c r="K29" s="6" t="n">
        <v>0</v>
      </c>
      <c r="L29" s="4" t="s">
        <v>815</v>
      </c>
    </row>
    <row r="30" customFormat="false" ht="15" hidden="false" customHeight="false" outlineLevel="0" collapsed="false">
      <c r="A30" s="5" t="s">
        <v>823</v>
      </c>
      <c r="B30" s="4" t="s">
        <v>742</v>
      </c>
      <c r="C30" s="4" t="n">
        <v>1</v>
      </c>
      <c r="D30" s="6" t="n">
        <v>0.85</v>
      </c>
      <c r="E30" s="6" t="n">
        <f aca="false">C30*D30</f>
        <v>0.85</v>
      </c>
      <c r="F30" s="4" t="n">
        <v>250</v>
      </c>
      <c r="G30" s="4" t="n">
        <v>500</v>
      </c>
      <c r="H30" s="4" t="s">
        <v>69</v>
      </c>
      <c r="I30" s="4" t="n">
        <v>250</v>
      </c>
      <c r="J30" s="6" t="n">
        <v>0</v>
      </c>
      <c r="K30" s="6" t="n">
        <v>0.425</v>
      </c>
      <c r="L30" s="4" t="s">
        <v>824</v>
      </c>
    </row>
    <row r="31" customFormat="false" ht="15" hidden="false" customHeight="false" outlineLevel="0" collapsed="false">
      <c r="A31" s="5" t="s">
        <v>825</v>
      </c>
      <c r="B31" s="4" t="s">
        <v>742</v>
      </c>
      <c r="C31" s="4" t="n">
        <v>1</v>
      </c>
      <c r="D31" s="6" t="n">
        <v>1.29</v>
      </c>
      <c r="E31" s="6" t="n">
        <f aca="false">C31*D31</f>
        <v>1.29</v>
      </c>
      <c r="F31" s="4" t="n">
        <v>480</v>
      </c>
      <c r="G31" s="4" t="n">
        <v>550</v>
      </c>
      <c r="H31" s="4" t="s">
        <v>69</v>
      </c>
      <c r="I31" s="4" t="n">
        <v>70</v>
      </c>
      <c r="J31" s="6" t="n">
        <v>0.114927272727273</v>
      </c>
      <c r="K31" s="6" t="n">
        <v>0.0492545454545455</v>
      </c>
      <c r="L31" s="4" t="s">
        <v>826</v>
      </c>
    </row>
    <row r="32" customFormat="false" ht="15" hidden="false" customHeight="false" outlineLevel="0" collapsed="false">
      <c r="A32" s="5" t="s">
        <v>827</v>
      </c>
      <c r="B32" s="4" t="s">
        <v>742</v>
      </c>
      <c r="C32" s="4" t="n">
        <v>1</v>
      </c>
      <c r="D32" s="6" t="n">
        <v>1.39</v>
      </c>
      <c r="E32" s="6" t="n">
        <f aca="false">C32*D32</f>
        <v>1.39</v>
      </c>
      <c r="F32" s="4" t="n">
        <v>100</v>
      </c>
      <c r="G32" s="4" t="n">
        <v>380</v>
      </c>
      <c r="H32" s="4" t="s">
        <v>69</v>
      </c>
      <c r="I32" s="4" t="n">
        <v>280</v>
      </c>
      <c r="J32" s="6" t="n">
        <v>0.307263157894737</v>
      </c>
      <c r="K32" s="6" t="n">
        <v>0.716947368421053</v>
      </c>
      <c r="L32" s="4" t="s">
        <v>824</v>
      </c>
    </row>
    <row r="33" customFormat="false" ht="26.85" hidden="false" customHeight="false" outlineLevel="0" collapsed="false">
      <c r="A33" s="5" t="s">
        <v>828</v>
      </c>
      <c r="B33" s="4" t="s">
        <v>742</v>
      </c>
      <c r="C33" s="4" t="n">
        <v>1</v>
      </c>
      <c r="D33" s="6" t="n">
        <v>1.29</v>
      </c>
      <c r="E33" s="6" t="n">
        <f aca="false">C33*D33</f>
        <v>1.29</v>
      </c>
      <c r="F33" s="4" t="n">
        <v>420</v>
      </c>
      <c r="G33" s="4" t="n">
        <v>420</v>
      </c>
      <c r="H33" s="4" t="s">
        <v>74</v>
      </c>
      <c r="I33" s="4" t="n">
        <v>0</v>
      </c>
      <c r="J33" s="6" t="n">
        <v>0</v>
      </c>
      <c r="K33" s="6" t="n">
        <v>0</v>
      </c>
      <c r="L33" s="4" t="s">
        <v>829</v>
      </c>
    </row>
    <row r="34" customFormat="false" ht="15" hidden="false" customHeight="false" outlineLevel="0" collapsed="false">
      <c r="A34" s="5" t="s">
        <v>746</v>
      </c>
      <c r="B34" s="4" t="s">
        <v>742</v>
      </c>
      <c r="C34" s="4" t="n">
        <v>1</v>
      </c>
      <c r="D34" s="6" t="n">
        <v>0.75</v>
      </c>
      <c r="E34" s="6" t="n">
        <f aca="false">C34*D34</f>
        <v>0.75</v>
      </c>
      <c r="F34" s="4" t="n">
        <v>250</v>
      </c>
      <c r="G34" s="4" t="n">
        <v>500</v>
      </c>
      <c r="H34" s="4" t="s">
        <v>69</v>
      </c>
      <c r="I34" s="4" t="n">
        <v>250</v>
      </c>
      <c r="J34" s="6" t="n">
        <v>0</v>
      </c>
      <c r="K34" s="6" t="n">
        <v>0.375</v>
      </c>
      <c r="L34" s="4" t="s">
        <v>829</v>
      </c>
    </row>
    <row r="35" customFormat="false" ht="15" hidden="false" customHeight="false" outlineLevel="0" collapsed="false">
      <c r="A35" s="9" t="s">
        <v>748</v>
      </c>
      <c r="E35" s="17" t="n">
        <f aca="false">SUM(E16:E34)</f>
        <v>29.93</v>
      </c>
      <c r="J35" s="17" t="n">
        <f aca="false">SUM(J16:J34)</f>
        <v>2.26857376395534</v>
      </c>
      <c r="K35" s="17" t="n">
        <f aca="false">SUM(K16:K34)</f>
        <v>5.11771858054227</v>
      </c>
    </row>
    <row r="36" customFormat="false" ht="15" hidden="false" customHeight="false" outlineLevel="0" collapsed="false">
      <c r="A36" s="18" t="s">
        <v>23</v>
      </c>
      <c r="B36" s="18" t="s">
        <v>749</v>
      </c>
      <c r="C36" s="4" t="n">
        <v>1</v>
      </c>
      <c r="D36" s="6" t="n">
        <v>4.65</v>
      </c>
      <c r="E36" s="6" t="n">
        <f aca="false">C36*D36</f>
        <v>4.65</v>
      </c>
      <c r="L36" s="4" t="s">
        <v>750</v>
      </c>
    </row>
    <row r="37" customFormat="false" ht="15" hidden="false" customHeight="false" outlineLevel="0" collapsed="false">
      <c r="A37" s="18" t="s">
        <v>24</v>
      </c>
      <c r="B37" s="18" t="s">
        <v>749</v>
      </c>
      <c r="C37" s="4" t="n">
        <v>1</v>
      </c>
      <c r="D37" s="6" t="n">
        <v>2.89</v>
      </c>
      <c r="E37" s="6" t="n">
        <f aca="false">C37*D37</f>
        <v>2.89</v>
      </c>
      <c r="L37" s="4" t="s">
        <v>751</v>
      </c>
    </row>
    <row r="38" customFormat="false" ht="15" hidden="false" customHeight="false" outlineLevel="0" collapsed="false">
      <c r="A38" s="9" t="s">
        <v>752</v>
      </c>
      <c r="E38" s="17" t="n">
        <f aca="false">E35+E36+E37</f>
        <v>37.47</v>
      </c>
    </row>
    <row r="40" customFormat="false" ht="16.15" hidden="false" customHeight="false" outlineLevel="0" collapsed="false">
      <c r="A40" s="1" t="s">
        <v>753</v>
      </c>
    </row>
    <row r="41" customFormat="false" ht="26.85" hidden="false" customHeight="false" outlineLevel="0" collapsed="false">
      <c r="A41" s="3" t="s">
        <v>754</v>
      </c>
      <c r="B41" s="3" t="s">
        <v>708</v>
      </c>
      <c r="C41" s="3" t="s">
        <v>63</v>
      </c>
      <c r="D41" s="3" t="s">
        <v>755</v>
      </c>
      <c r="E41" s="3" t="s">
        <v>711</v>
      </c>
      <c r="F41" s="3" t="s">
        <v>756</v>
      </c>
      <c r="G41" s="3" t="s">
        <v>757</v>
      </c>
      <c r="H41" s="3" t="s">
        <v>64</v>
      </c>
      <c r="I41" s="3" t="s">
        <v>758</v>
      </c>
      <c r="J41" s="3"/>
      <c r="K41" s="3" t="s">
        <v>759</v>
      </c>
      <c r="L41" s="3" t="s">
        <v>717</v>
      </c>
    </row>
    <row r="42" customFormat="false" ht="15" hidden="false" customHeight="false" outlineLevel="0" collapsed="false">
      <c r="A42" s="19" t="s">
        <v>214</v>
      </c>
      <c r="B42" s="10" t="s">
        <v>760</v>
      </c>
      <c r="C42" s="4" t="n">
        <v>1</v>
      </c>
      <c r="D42" s="6" t="n">
        <v>1.29</v>
      </c>
      <c r="E42" s="6" t="n">
        <f aca="false">C42*D42</f>
        <v>1.29</v>
      </c>
      <c r="F42" s="4" t="n">
        <v>12</v>
      </c>
      <c r="G42" s="4" t="n">
        <v>55</v>
      </c>
      <c r="H42" s="4" t="s">
        <v>69</v>
      </c>
      <c r="I42" s="4" t="n">
        <v>43</v>
      </c>
      <c r="K42" s="6" t="n">
        <f aca="false">D42*I42/G42</f>
        <v>1.00854545454545</v>
      </c>
      <c r="L42" s="4" t="s">
        <v>830</v>
      </c>
    </row>
    <row r="43" customFormat="false" ht="15" hidden="false" customHeight="false" outlineLevel="0" collapsed="false">
      <c r="A43" s="19" t="s">
        <v>221</v>
      </c>
      <c r="B43" s="10" t="s">
        <v>760</v>
      </c>
      <c r="C43" s="4" t="n">
        <v>1</v>
      </c>
      <c r="D43" s="6" t="n">
        <v>1.79</v>
      </c>
      <c r="E43" s="6" t="n">
        <f aca="false">C43*D43</f>
        <v>1.79</v>
      </c>
      <c r="F43" s="4" t="n">
        <v>10</v>
      </c>
      <c r="G43" s="4" t="n">
        <v>180</v>
      </c>
      <c r="H43" s="4" t="s">
        <v>69</v>
      </c>
      <c r="I43" s="4" t="n">
        <v>170</v>
      </c>
      <c r="K43" s="6" t="n">
        <f aca="false">D43*I43/G43</f>
        <v>1.69055555555556</v>
      </c>
      <c r="L43" s="4" t="s">
        <v>824</v>
      </c>
    </row>
    <row r="44" customFormat="false" ht="15" hidden="false" customHeight="false" outlineLevel="0" collapsed="false">
      <c r="A44" s="19" t="s">
        <v>90</v>
      </c>
      <c r="B44" s="10" t="s">
        <v>760</v>
      </c>
      <c r="C44" s="4" t="n">
        <v>1</v>
      </c>
      <c r="D44" s="6" t="n">
        <v>2.15</v>
      </c>
      <c r="E44" s="6" t="n">
        <f aca="false">C44*D44</f>
        <v>2.15</v>
      </c>
      <c r="F44" s="4" t="n">
        <v>50</v>
      </c>
      <c r="G44" s="4" t="n">
        <v>1000</v>
      </c>
      <c r="H44" s="4" t="s">
        <v>74</v>
      </c>
      <c r="I44" s="4" t="n">
        <v>950</v>
      </c>
      <c r="K44" s="6" t="n">
        <f aca="false">D44*I44/G44</f>
        <v>2.0425</v>
      </c>
      <c r="L44" s="4" t="s">
        <v>831</v>
      </c>
    </row>
    <row r="45" customFormat="false" ht="15" hidden="false" customHeight="false" outlineLevel="0" collapsed="false">
      <c r="A45" s="19" t="s">
        <v>505</v>
      </c>
      <c r="B45" s="10" t="s">
        <v>760</v>
      </c>
      <c r="C45" s="4" t="n">
        <v>1</v>
      </c>
      <c r="D45" s="6" t="n">
        <v>1.89</v>
      </c>
      <c r="E45" s="6" t="n">
        <f aca="false">C45*D45</f>
        <v>1.89</v>
      </c>
      <c r="F45" s="4" t="n">
        <v>1</v>
      </c>
      <c r="G45" s="4" t="n">
        <v>12</v>
      </c>
      <c r="H45" s="4" t="s">
        <v>69</v>
      </c>
      <c r="I45" s="4" t="n">
        <v>11</v>
      </c>
      <c r="K45" s="6" t="n">
        <f aca="false">D45*I45/G45</f>
        <v>1.7325</v>
      </c>
      <c r="L45" s="4" t="s">
        <v>815</v>
      </c>
    </row>
    <row r="46" customFormat="false" ht="15" hidden="false" customHeight="false" outlineLevel="0" collapsed="false">
      <c r="A46" s="19" t="s">
        <v>97</v>
      </c>
      <c r="B46" s="10" t="s">
        <v>760</v>
      </c>
      <c r="C46" s="4" t="n">
        <v>1</v>
      </c>
      <c r="D46" s="6" t="n">
        <v>0.5</v>
      </c>
      <c r="E46" s="6" t="n">
        <f aca="false">C46*D46</f>
        <v>0.5</v>
      </c>
      <c r="F46" s="4" t="n">
        <v>11</v>
      </c>
      <c r="G46" s="4" t="n">
        <v>100</v>
      </c>
      <c r="H46" s="4" t="s">
        <v>69</v>
      </c>
      <c r="I46" s="4" t="n">
        <v>89</v>
      </c>
      <c r="K46" s="6" t="n">
        <f aca="false">D46*I46/G46</f>
        <v>0.445</v>
      </c>
      <c r="L46" s="4" t="s">
        <v>832</v>
      </c>
    </row>
    <row r="47" customFormat="false" ht="15" hidden="false" customHeight="false" outlineLevel="0" collapsed="false">
      <c r="A47" s="9" t="s">
        <v>764</v>
      </c>
      <c r="E47" s="17" t="n">
        <f aca="false">SUM(E42:E46)</f>
        <v>7.62</v>
      </c>
    </row>
    <row r="49" customFormat="false" ht="16.15" hidden="false" customHeight="false" outlineLevel="0" collapsed="false">
      <c r="A49" s="1" t="s">
        <v>765</v>
      </c>
    </row>
    <row r="50" customFormat="false" ht="15" hidden="false" customHeight="false" outlineLevel="0" collapsed="false">
      <c r="A50" s="4" t="s">
        <v>766</v>
      </c>
      <c r="E50" s="6" t="n">
        <f aca="false">E38</f>
        <v>37.47</v>
      </c>
    </row>
    <row r="51" customFormat="false" ht="15" hidden="false" customHeight="false" outlineLevel="0" collapsed="false">
      <c r="A51" s="4" t="s">
        <v>767</v>
      </c>
      <c r="E51" s="6" t="n">
        <f aca="false">E47</f>
        <v>7.62</v>
      </c>
    </row>
    <row r="52" customFormat="false" ht="15" hidden="false" customHeight="false" outlineLevel="0" collapsed="false">
      <c r="A52" s="9" t="s">
        <v>768</v>
      </c>
      <c r="E52" s="17" t="n">
        <f aca="false">E38+E47</f>
        <v>45.09</v>
      </c>
    </row>
    <row r="53" customFormat="false" ht="15" hidden="false" customHeight="false" outlineLevel="0" collapsed="false">
      <c r="A53" s="4" t="s">
        <v>769</v>
      </c>
      <c r="E53" s="6" t="n">
        <v>55</v>
      </c>
    </row>
    <row r="54" customFormat="false" ht="15" hidden="false" customHeight="false" outlineLevel="0" collapsed="false">
      <c r="A54" s="4" t="s">
        <v>770</v>
      </c>
      <c r="E54" s="6" t="n">
        <f aca="false">E53-E52</f>
        <v>9.91</v>
      </c>
    </row>
    <row r="55" customFormat="false" ht="15" hidden="false" customHeight="false" outlineLevel="0" collapsed="false">
      <c r="A55" s="4" t="s">
        <v>771</v>
      </c>
      <c r="E55" s="6" t="n">
        <f aca="false">J35</f>
        <v>2.26857376395534</v>
      </c>
    </row>
    <row r="56" customFormat="false" ht="15" hidden="false" customHeight="false" outlineLevel="0" collapsed="false">
      <c r="A56" s="4" t="s">
        <v>772</v>
      </c>
      <c r="E56" s="20" t="n">
        <f aca="false">J35/E38</f>
        <v>0.0605437353604308</v>
      </c>
    </row>
    <row r="57" customFormat="false" ht="15" hidden="false" customHeight="false" outlineLevel="0" collapsed="false">
      <c r="A57" s="4" t="s">
        <v>773</v>
      </c>
      <c r="E57" s="6" t="n">
        <f aca="false">K35</f>
        <v>5.11771858054227</v>
      </c>
    </row>
    <row r="58" customFormat="false" ht="15" hidden="false" customHeight="false" outlineLevel="0" collapsed="false">
      <c r="A58" s="4" t="s">
        <v>774</v>
      </c>
      <c r="E58" s="6" t="n">
        <f aca="false">(E38+E47)/14</f>
        <v>3.22071428571429</v>
      </c>
    </row>
    <row r="59" customFormat="false" ht="15" hidden="false" customHeight="false" outlineLevel="0" collapsed="false">
      <c r="A59" s="4" t="s">
        <v>775</v>
      </c>
      <c r="E59" s="6" t="n">
        <f aca="false">E38</f>
        <v>37.47</v>
      </c>
    </row>
    <row r="62" customFormat="false" ht="16.15" hidden="false" customHeight="false" outlineLevel="0" collapsed="false">
      <c r="A62" s="1" t="s">
        <v>776</v>
      </c>
    </row>
    <row r="63" customFormat="false" ht="15" hidden="false" customHeight="false" outlineLevel="0" collapsed="false">
      <c r="A63" s="21" t="s">
        <v>833</v>
      </c>
    </row>
    <row r="64" customFormat="false" ht="30" hidden="false" customHeight="true" outlineLevel="0" collapsed="false">
      <c r="A64" s="9" t="s">
        <v>62</v>
      </c>
      <c r="B64" s="5" t="s">
        <v>834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8" hidden="false" customHeight="true" outlineLevel="0" collapsed="false">
      <c r="A65" s="4" t="s">
        <v>779</v>
      </c>
      <c r="B65" s="5" t="s">
        <v>150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8" hidden="false" customHeight="true" outlineLevel="0" collapsed="false">
      <c r="A66" s="4" t="s">
        <v>780</v>
      </c>
      <c r="B66" s="5" t="s">
        <v>151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30" hidden="false" customHeight="true" outlineLevel="0" collapsed="false">
      <c r="A67" s="4" t="s">
        <v>781</v>
      </c>
      <c r="B67" s="5" t="s">
        <v>152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30" hidden="false" customHeight="true" outlineLevel="0" collapsed="false">
      <c r="A68" s="4" t="s">
        <v>782</v>
      </c>
      <c r="B68" s="5" t="s">
        <v>153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8" hidden="false" customHeight="true" outlineLevel="0" collapsed="false">
      <c r="A69" s="4" t="s">
        <v>783</v>
      </c>
      <c r="B69" s="5" t="s">
        <v>154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30" hidden="false" customHeight="true" outlineLevel="0" collapsed="false">
      <c r="A70" s="4" t="s">
        <v>784</v>
      </c>
      <c r="B70" s="5" t="s">
        <v>155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2" customFormat="false" ht="15" hidden="false" customHeight="false" outlineLevel="0" collapsed="false">
      <c r="A72" s="21" t="s">
        <v>835</v>
      </c>
    </row>
    <row r="73" customFormat="false" ht="30" hidden="false" customHeight="true" outlineLevel="0" collapsed="false">
      <c r="A73" s="9" t="s">
        <v>62</v>
      </c>
      <c r="B73" s="5" t="s">
        <v>836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8" hidden="false" customHeight="true" outlineLevel="0" collapsed="false">
      <c r="A74" s="4" t="s">
        <v>779</v>
      </c>
      <c r="B74" s="5" t="s">
        <v>130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780</v>
      </c>
      <c r="B75" s="5" t="s">
        <v>131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781</v>
      </c>
      <c r="B76" s="5" t="s">
        <v>132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782</v>
      </c>
      <c r="B77" s="5" t="s">
        <v>133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783</v>
      </c>
      <c r="B78" s="5" t="s">
        <v>134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30" hidden="false" customHeight="true" outlineLevel="0" collapsed="false">
      <c r="A79" s="4" t="s">
        <v>784</v>
      </c>
      <c r="B79" s="5" t="s">
        <v>135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1" customFormat="false" ht="15" hidden="false" customHeight="false" outlineLevel="0" collapsed="false">
      <c r="A81" s="21" t="s">
        <v>837</v>
      </c>
    </row>
    <row r="82" customFormat="false" ht="30" hidden="false" customHeight="true" outlineLevel="0" collapsed="false">
      <c r="A82" s="9" t="s">
        <v>62</v>
      </c>
      <c r="B82" s="5" t="s">
        <v>838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30" hidden="false" customHeight="true" outlineLevel="0" collapsed="false">
      <c r="A83" s="4" t="s">
        <v>779</v>
      </c>
      <c r="B83" s="5" t="s">
        <v>584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30" hidden="false" customHeight="true" outlineLevel="0" collapsed="false">
      <c r="A84" s="4" t="s">
        <v>780</v>
      </c>
      <c r="B84" s="5" t="s">
        <v>585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781</v>
      </c>
      <c r="B85" s="5" t="s">
        <v>586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4" t="s">
        <v>782</v>
      </c>
      <c r="B86" s="5" t="s">
        <v>587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783</v>
      </c>
      <c r="B87" s="5" t="s">
        <v>588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784</v>
      </c>
      <c r="B88" s="5" t="s">
        <v>589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785</v>
      </c>
      <c r="B89" s="5" t="s">
        <v>590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30" hidden="false" customHeight="true" outlineLevel="0" collapsed="false">
      <c r="A90" s="4" t="s">
        <v>839</v>
      </c>
      <c r="B90" s="5" t="s">
        <v>591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customFormat="false" ht="15" hidden="false" customHeight="false" outlineLevel="0" collapsed="false">
      <c r="A92" s="21" t="s">
        <v>840</v>
      </c>
    </row>
    <row r="93" customFormat="false" ht="30" hidden="false" customHeight="true" outlineLevel="0" collapsed="false">
      <c r="A93" s="9" t="s">
        <v>62</v>
      </c>
      <c r="B93" s="5" t="s">
        <v>841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4" t="s">
        <v>779</v>
      </c>
      <c r="B94" s="5" t="s">
        <v>561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780</v>
      </c>
      <c r="B95" s="5" t="s">
        <v>562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781</v>
      </c>
      <c r="B96" s="5" t="s">
        <v>563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30" hidden="false" customHeight="true" outlineLevel="0" collapsed="false">
      <c r="A97" s="4" t="s">
        <v>782</v>
      </c>
      <c r="B97" s="5" t="s">
        <v>564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783</v>
      </c>
      <c r="B98" s="5" t="s">
        <v>565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784</v>
      </c>
      <c r="B99" s="5" t="s">
        <v>566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8" hidden="false" customHeight="true" outlineLevel="0" collapsed="false">
      <c r="A100" s="4" t="s">
        <v>785</v>
      </c>
      <c r="B100" s="5" t="s">
        <v>567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2" customFormat="false" ht="15" hidden="false" customHeight="false" outlineLevel="0" collapsed="false">
      <c r="A102" s="21" t="s">
        <v>842</v>
      </c>
    </row>
    <row r="103" customFormat="false" ht="30" hidden="false" customHeight="true" outlineLevel="0" collapsed="false">
      <c r="A103" s="9" t="s">
        <v>62</v>
      </c>
      <c r="B103" s="5" t="s">
        <v>843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8" hidden="false" customHeight="true" outlineLevel="0" collapsed="false">
      <c r="A104" s="4" t="s">
        <v>779</v>
      </c>
      <c r="B104" s="5" t="s">
        <v>618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45" hidden="false" customHeight="true" outlineLevel="0" collapsed="false">
      <c r="A105" s="4" t="s">
        <v>780</v>
      </c>
      <c r="B105" s="5" t="s">
        <v>619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781</v>
      </c>
      <c r="B106" s="5" t="s">
        <v>620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8" hidden="false" customHeight="true" outlineLevel="0" collapsed="false">
      <c r="A107" s="4" t="s">
        <v>782</v>
      </c>
      <c r="B107" s="5" t="s">
        <v>621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783</v>
      </c>
      <c r="B108" s="5" t="s">
        <v>622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8" hidden="false" customHeight="true" outlineLevel="0" collapsed="false">
      <c r="A109" s="4" t="s">
        <v>784</v>
      </c>
      <c r="B109" s="5" t="s">
        <v>623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30" hidden="false" customHeight="true" outlineLevel="0" collapsed="false">
      <c r="A110" s="4" t="s">
        <v>785</v>
      </c>
      <c r="B110" s="5" t="s">
        <v>624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</sheetData>
  <mergeCells count="39">
    <mergeCell ref="B64:L64"/>
    <mergeCell ref="B65:L65"/>
    <mergeCell ref="B66:L66"/>
    <mergeCell ref="B67:L67"/>
    <mergeCell ref="B68:L68"/>
    <mergeCell ref="B69:L69"/>
    <mergeCell ref="B70:L70"/>
    <mergeCell ref="B73:L73"/>
    <mergeCell ref="B74:L74"/>
    <mergeCell ref="B75:L75"/>
    <mergeCell ref="B76:L76"/>
    <mergeCell ref="B77:L77"/>
    <mergeCell ref="B78:L78"/>
    <mergeCell ref="B79:L79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3:L93"/>
    <mergeCell ref="B94:L94"/>
    <mergeCell ref="B95:L95"/>
    <mergeCell ref="B96:L96"/>
    <mergeCell ref="B97:L97"/>
    <mergeCell ref="B98:L98"/>
    <mergeCell ref="B99:L99"/>
    <mergeCell ref="B100:L100"/>
    <mergeCell ref="B103:L103"/>
    <mergeCell ref="B104:L104"/>
    <mergeCell ref="B105:L105"/>
    <mergeCell ref="B106:L106"/>
    <mergeCell ref="B107:L107"/>
    <mergeCell ref="B108:L108"/>
    <mergeCell ref="B109:L109"/>
    <mergeCell ref="B110:L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844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845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297</v>
      </c>
      <c r="D6" s="4" t="n">
        <f aca="false">ROUND(Nutrition!H148,0)</f>
        <v>864</v>
      </c>
      <c r="E6" s="5" t="s">
        <v>685</v>
      </c>
      <c r="F6" s="5" t="s">
        <v>301</v>
      </c>
      <c r="G6" s="4" t="str">
        <f aca="false">ROUND(Nutrition!I148,0)&amp;" / "&amp;ROUND(Nutrition!J148,0)&amp;" / "&amp;ROUND(Nutrition!K148,0)</f>
        <v>39 / 75 / 44</v>
      </c>
    </row>
    <row r="7" customFormat="false" ht="31.5" hidden="false" customHeight="true" outlineLevel="0" collapsed="false">
      <c r="A7" s="4" t="s">
        <v>686</v>
      </c>
      <c r="B7" s="5" t="s">
        <v>687</v>
      </c>
      <c r="C7" s="16" t="s">
        <v>354</v>
      </c>
      <c r="D7" s="4" t="n">
        <f aca="false">ROUND(Nutrition!H186,0)</f>
        <v>908</v>
      </c>
      <c r="E7" s="5" t="s">
        <v>697</v>
      </c>
      <c r="F7" s="5" t="s">
        <v>358</v>
      </c>
      <c r="G7" s="4" t="str">
        <f aca="false">ROUND(Nutrition!I186,0)&amp;" / "&amp;ROUND(Nutrition!J186,0)&amp;" / "&amp;ROUND(Nutrition!K186,0)</f>
        <v>41 / 94 / 40</v>
      </c>
    </row>
    <row r="8" customFormat="false" ht="31.5" hidden="false" customHeight="true" outlineLevel="0" collapsed="false">
      <c r="A8" s="4" t="s">
        <v>689</v>
      </c>
      <c r="B8" s="5" t="s">
        <v>846</v>
      </c>
      <c r="C8" s="16" t="s">
        <v>592</v>
      </c>
      <c r="D8" s="4" t="n">
        <f aca="false">ROUND(Nutrition!H369,0)</f>
        <v>1050</v>
      </c>
      <c r="E8" s="5" t="s">
        <v>847</v>
      </c>
      <c r="F8" s="5" t="s">
        <v>596</v>
      </c>
      <c r="G8" s="4" t="str">
        <f aca="false">ROUND(Nutrition!I369,0)&amp;" / "&amp;ROUND(Nutrition!J369,0)&amp;" / "&amp;ROUND(Nutrition!K369,0)</f>
        <v>46 / 99 / 50</v>
      </c>
    </row>
    <row r="9" customFormat="false" ht="31.5" hidden="false" customHeight="true" outlineLevel="0" collapsed="false">
      <c r="A9" s="4" t="s">
        <v>692</v>
      </c>
      <c r="B9" s="5" t="s">
        <v>848</v>
      </c>
      <c r="C9" s="16" t="s">
        <v>53</v>
      </c>
      <c r="D9" s="4" t="n">
        <f aca="false">ROUND(Nutrition!H15,0)</f>
        <v>885</v>
      </c>
      <c r="E9" s="5" t="s">
        <v>849</v>
      </c>
      <c r="F9" s="5"/>
      <c r="G9" s="4" t="str">
        <f aca="false">ROUND(Nutrition!I15,0)&amp;" / "&amp;ROUND(Nutrition!J15,0)&amp;" / "&amp;ROUND(Nutrition!K15,0)</f>
        <v>42 / 75 / 46</v>
      </c>
    </row>
    <row r="10" customFormat="false" ht="31.5" hidden="false" customHeight="true" outlineLevel="0" collapsed="false">
      <c r="A10" s="4" t="s">
        <v>695</v>
      </c>
      <c r="B10" s="5" t="s">
        <v>850</v>
      </c>
      <c r="C10" s="16" t="s">
        <v>233</v>
      </c>
      <c r="D10" s="4" t="n">
        <f aca="false">ROUND(Nutrition!H105,0)</f>
        <v>959</v>
      </c>
      <c r="E10" s="5" t="s">
        <v>800</v>
      </c>
      <c r="F10" s="5" t="s">
        <v>237</v>
      </c>
      <c r="G10" s="4" t="str">
        <f aca="false">ROUND(Nutrition!I105,0)&amp;" / "&amp;ROUND(Nutrition!J105,0)&amp;" / "&amp;ROUND(Nutrition!K105,0)</f>
        <v>37 / 45 / 69</v>
      </c>
    </row>
    <row r="11" customFormat="false" ht="52.2" hidden="false" customHeight="false" outlineLevel="0" collapsed="false">
      <c r="A11" s="4" t="s">
        <v>698</v>
      </c>
      <c r="B11" s="5" t="s">
        <v>851</v>
      </c>
      <c r="C11" s="4" t="s">
        <v>852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852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718</v>
      </c>
      <c r="B16" s="4" t="s">
        <v>719</v>
      </c>
      <c r="C16" s="4" t="n">
        <v>1</v>
      </c>
      <c r="D16" s="6" t="n">
        <v>1.85</v>
      </c>
      <c r="E16" s="6" t="n">
        <f aca="false">C16*D16</f>
        <v>1.85</v>
      </c>
      <c r="F16" s="4" t="n">
        <v>100</v>
      </c>
      <c r="G16" s="4" t="n">
        <v>120</v>
      </c>
      <c r="H16" s="4" t="s">
        <v>69</v>
      </c>
      <c r="I16" s="4" t="n">
        <v>20</v>
      </c>
      <c r="J16" s="6" t="n">
        <v>0.0925</v>
      </c>
      <c r="K16" s="6" t="n">
        <v>0.215833333333333</v>
      </c>
      <c r="L16" s="4" t="s">
        <v>853</v>
      </c>
    </row>
    <row r="17" customFormat="false" ht="15" hidden="false" customHeight="false" outlineLevel="0" collapsed="false">
      <c r="A17" s="5" t="s">
        <v>725</v>
      </c>
      <c r="B17" s="4" t="s">
        <v>726</v>
      </c>
      <c r="C17" s="4" t="n">
        <v>1</v>
      </c>
      <c r="D17" s="6" t="n">
        <v>0.75</v>
      </c>
      <c r="E17" s="6" t="n">
        <f aca="false">C17*D17</f>
        <v>0.75</v>
      </c>
      <c r="F17" s="4" t="n">
        <v>180</v>
      </c>
      <c r="G17" s="4" t="n">
        <v>200</v>
      </c>
      <c r="H17" s="4" t="s">
        <v>74</v>
      </c>
      <c r="I17" s="4" t="n">
        <v>20</v>
      </c>
      <c r="J17" s="6" t="n">
        <v>0.0225</v>
      </c>
      <c r="K17" s="6" t="n">
        <v>0.0525</v>
      </c>
      <c r="L17" s="4" t="s">
        <v>854</v>
      </c>
    </row>
    <row r="18" customFormat="false" ht="15" hidden="false" customHeight="false" outlineLevel="0" collapsed="false">
      <c r="A18" s="5" t="s">
        <v>809</v>
      </c>
      <c r="B18" s="4" t="s">
        <v>726</v>
      </c>
      <c r="C18" s="4" t="n">
        <v>1</v>
      </c>
      <c r="D18" s="6" t="n">
        <v>2.09</v>
      </c>
      <c r="E18" s="6" t="n">
        <f aca="false">C18*D18</f>
        <v>2.09</v>
      </c>
      <c r="F18" s="4" t="n">
        <v>200</v>
      </c>
      <c r="G18" s="4" t="n">
        <v>210</v>
      </c>
      <c r="H18" s="4" t="s">
        <v>69</v>
      </c>
      <c r="I18" s="4" t="n">
        <v>10</v>
      </c>
      <c r="J18" s="6" t="n">
        <v>0.0199047619047619</v>
      </c>
      <c r="K18" s="6" t="n">
        <v>0.0796190476190476</v>
      </c>
      <c r="L18" s="4" t="s">
        <v>855</v>
      </c>
    </row>
    <row r="19" customFormat="false" ht="15" hidden="false" customHeight="false" outlineLevel="0" collapsed="false">
      <c r="A19" s="5" t="s">
        <v>811</v>
      </c>
      <c r="B19" s="4" t="s">
        <v>726</v>
      </c>
      <c r="C19" s="4" t="n">
        <v>1</v>
      </c>
      <c r="D19" s="6" t="n">
        <v>1.19</v>
      </c>
      <c r="E19" s="6" t="n">
        <f aca="false">C19*D19</f>
        <v>1.19</v>
      </c>
      <c r="F19" s="4" t="n">
        <v>30</v>
      </c>
      <c r="G19" s="4" t="n">
        <v>60</v>
      </c>
      <c r="H19" s="4" t="s">
        <v>69</v>
      </c>
      <c r="I19" s="4" t="n">
        <v>30</v>
      </c>
      <c r="J19" s="6" t="n">
        <v>0</v>
      </c>
      <c r="K19" s="6" t="n">
        <v>0.595</v>
      </c>
      <c r="L19" s="4" t="s">
        <v>856</v>
      </c>
    </row>
    <row r="20" customFormat="false" ht="15" hidden="false" customHeight="false" outlineLevel="0" collapsed="false">
      <c r="A20" s="5" t="s">
        <v>813</v>
      </c>
      <c r="B20" s="4" t="s">
        <v>726</v>
      </c>
      <c r="C20" s="4" t="n">
        <v>2</v>
      </c>
      <c r="D20" s="6" t="n">
        <v>1.15</v>
      </c>
      <c r="E20" s="6" t="n">
        <f aca="false">C20*D20</f>
        <v>2.3</v>
      </c>
      <c r="F20" s="4" t="n">
        <v>250</v>
      </c>
      <c r="G20" s="4" t="n">
        <v>250</v>
      </c>
      <c r="H20" s="4" t="s">
        <v>69</v>
      </c>
      <c r="I20" s="4" t="n">
        <v>0</v>
      </c>
      <c r="J20" s="6" t="n">
        <v>0</v>
      </c>
      <c r="K20" s="6" t="n">
        <v>0</v>
      </c>
      <c r="L20" s="4" t="s">
        <v>856</v>
      </c>
    </row>
    <row r="21" customFormat="false" ht="15" hidden="false" customHeight="false" outlineLevel="0" collapsed="false">
      <c r="A21" s="5" t="s">
        <v>857</v>
      </c>
      <c r="B21" s="4" t="s">
        <v>817</v>
      </c>
      <c r="C21" s="4" t="n">
        <v>2</v>
      </c>
      <c r="D21" s="6" t="n">
        <v>1.69</v>
      </c>
      <c r="E21" s="6" t="n">
        <f aca="false">C21*D21</f>
        <v>3.38</v>
      </c>
      <c r="F21" s="4" t="n">
        <v>500</v>
      </c>
      <c r="G21" s="4" t="n">
        <v>600</v>
      </c>
      <c r="H21" s="4" t="s">
        <v>69</v>
      </c>
      <c r="I21" s="4" t="n">
        <v>100</v>
      </c>
      <c r="J21" s="8" t="n">
        <v>0.563333333333333</v>
      </c>
      <c r="K21" s="6" t="n">
        <v>0</v>
      </c>
      <c r="L21" s="4" t="s">
        <v>858</v>
      </c>
    </row>
    <row r="22" customFormat="false" ht="15" hidden="false" customHeight="false" outlineLevel="0" collapsed="false">
      <c r="A22" s="5" t="s">
        <v>859</v>
      </c>
      <c r="B22" s="4" t="s">
        <v>732</v>
      </c>
      <c r="C22" s="4" t="n">
        <v>1</v>
      </c>
      <c r="D22" s="6" t="n">
        <v>1.59</v>
      </c>
      <c r="E22" s="6" t="n">
        <f aca="false">C22*D22</f>
        <v>1.59</v>
      </c>
      <c r="F22" s="4" t="n">
        <v>150</v>
      </c>
      <c r="G22" s="4" t="n">
        <v>150</v>
      </c>
      <c r="H22" s="4" t="s">
        <v>69</v>
      </c>
      <c r="I22" s="4" t="n">
        <v>0</v>
      </c>
      <c r="J22" s="6" t="n">
        <v>0</v>
      </c>
      <c r="K22" s="6" t="n">
        <v>0</v>
      </c>
      <c r="L22" s="4" t="s">
        <v>853</v>
      </c>
    </row>
    <row r="23" customFormat="false" ht="15" hidden="false" customHeight="false" outlineLevel="0" collapsed="false">
      <c r="A23" s="5" t="s">
        <v>822</v>
      </c>
      <c r="B23" s="4" t="s">
        <v>732</v>
      </c>
      <c r="C23" s="4" t="n">
        <v>2</v>
      </c>
      <c r="D23" s="6" t="n">
        <v>0.99</v>
      </c>
      <c r="E23" s="6" t="n">
        <f aca="false">C23*D23</f>
        <v>1.98</v>
      </c>
      <c r="F23" s="4" t="n">
        <v>370</v>
      </c>
      <c r="G23" s="4" t="n">
        <v>500</v>
      </c>
      <c r="H23" s="4" t="s">
        <v>69</v>
      </c>
      <c r="I23" s="4" t="n">
        <v>130</v>
      </c>
      <c r="J23" s="8" t="n">
        <v>0.5148</v>
      </c>
      <c r="K23" s="6" t="n">
        <v>0</v>
      </c>
      <c r="L23" s="4" t="s">
        <v>860</v>
      </c>
    </row>
    <row r="24" customFormat="false" ht="15" hidden="false" customHeight="false" outlineLevel="0" collapsed="false">
      <c r="A24" s="5" t="s">
        <v>737</v>
      </c>
      <c r="B24" s="4" t="s">
        <v>738</v>
      </c>
      <c r="C24" s="4" t="n">
        <v>1</v>
      </c>
      <c r="D24" s="6" t="n">
        <v>3.49</v>
      </c>
      <c r="E24" s="6" t="n">
        <f aca="false">C24*D24</f>
        <v>3.49</v>
      </c>
      <c r="F24" s="4" t="n">
        <v>300</v>
      </c>
      <c r="G24" s="4" t="n">
        <v>300</v>
      </c>
      <c r="H24" s="4" t="s">
        <v>69</v>
      </c>
      <c r="I24" s="4" t="n">
        <v>0</v>
      </c>
      <c r="J24" s="6" t="n">
        <v>0</v>
      </c>
      <c r="K24" s="6" t="n">
        <v>0</v>
      </c>
      <c r="L24" s="4" t="s">
        <v>727</v>
      </c>
    </row>
    <row r="25" customFormat="false" ht="15" hidden="false" customHeight="false" outlineLevel="0" collapsed="false">
      <c r="A25" s="5" t="s">
        <v>739</v>
      </c>
      <c r="B25" s="4" t="s">
        <v>738</v>
      </c>
      <c r="C25" s="4" t="n">
        <v>1</v>
      </c>
      <c r="D25" s="6" t="n">
        <v>3.89</v>
      </c>
      <c r="E25" s="6" t="n">
        <f aca="false">C25*D25</f>
        <v>3.89</v>
      </c>
      <c r="F25" s="4" t="n">
        <v>260</v>
      </c>
      <c r="G25" s="4" t="n">
        <v>260</v>
      </c>
      <c r="H25" s="4" t="s">
        <v>69</v>
      </c>
      <c r="I25" s="4" t="n">
        <v>0</v>
      </c>
      <c r="J25" s="6" t="n">
        <v>0</v>
      </c>
      <c r="K25" s="6" t="n">
        <v>0</v>
      </c>
      <c r="L25" s="4" t="s">
        <v>861</v>
      </c>
    </row>
    <row r="26" customFormat="false" ht="15" hidden="false" customHeight="false" outlineLevel="0" collapsed="false">
      <c r="A26" s="5" t="s">
        <v>862</v>
      </c>
      <c r="B26" s="4" t="s">
        <v>742</v>
      </c>
      <c r="C26" s="4" t="n">
        <v>1</v>
      </c>
      <c r="D26" s="6" t="n">
        <v>0.95</v>
      </c>
      <c r="E26" s="6" t="n">
        <f aca="false">C26*D26</f>
        <v>0.95</v>
      </c>
      <c r="F26" s="4" t="n">
        <v>200</v>
      </c>
      <c r="G26" s="4" t="n">
        <v>200</v>
      </c>
      <c r="H26" s="4" t="s">
        <v>74</v>
      </c>
      <c r="I26" s="4" t="n">
        <v>0</v>
      </c>
      <c r="J26" s="6" t="n">
        <v>0</v>
      </c>
      <c r="K26" s="6" t="n">
        <v>0</v>
      </c>
      <c r="L26" s="4" t="s">
        <v>861</v>
      </c>
    </row>
    <row r="27" customFormat="false" ht="15" hidden="false" customHeight="false" outlineLevel="0" collapsed="false">
      <c r="A27" s="5" t="s">
        <v>863</v>
      </c>
      <c r="B27" s="4" t="s">
        <v>742</v>
      </c>
      <c r="C27" s="4" t="n">
        <v>1</v>
      </c>
      <c r="D27" s="6" t="n">
        <v>1.39</v>
      </c>
      <c r="E27" s="6" t="n">
        <f aca="false">C27*D27</f>
        <v>1.39</v>
      </c>
      <c r="F27" s="4" t="n">
        <v>40</v>
      </c>
      <c r="G27" s="4" t="n">
        <v>125</v>
      </c>
      <c r="H27" s="4" t="s">
        <v>69</v>
      </c>
      <c r="I27" s="4" t="n">
        <v>85</v>
      </c>
      <c r="J27" s="6" t="n">
        <v>0</v>
      </c>
      <c r="K27" s="6" t="n">
        <v>0.9452</v>
      </c>
      <c r="L27" s="4" t="s">
        <v>861</v>
      </c>
    </row>
    <row r="28" customFormat="false" ht="26.85" hidden="false" customHeight="false" outlineLevel="0" collapsed="false">
      <c r="A28" s="5" t="s">
        <v>864</v>
      </c>
      <c r="B28" s="4" t="s">
        <v>742</v>
      </c>
      <c r="C28" s="4" t="n">
        <v>1</v>
      </c>
      <c r="D28" s="6" t="n">
        <v>1.99</v>
      </c>
      <c r="E28" s="6" t="n">
        <f aca="false">C28*D28</f>
        <v>1.99</v>
      </c>
      <c r="F28" s="4" t="n">
        <v>100</v>
      </c>
      <c r="G28" s="4" t="n">
        <v>185</v>
      </c>
      <c r="H28" s="4" t="s">
        <v>69</v>
      </c>
      <c r="I28" s="4" t="n">
        <v>85</v>
      </c>
      <c r="J28" s="6" t="n">
        <v>0.457162162162162</v>
      </c>
      <c r="K28" s="6" t="n">
        <v>0.457162162162162</v>
      </c>
      <c r="L28" s="4" t="s">
        <v>856</v>
      </c>
    </row>
    <row r="29" customFormat="false" ht="15" hidden="false" customHeight="false" outlineLevel="0" collapsed="false">
      <c r="A29" s="5" t="s">
        <v>865</v>
      </c>
      <c r="B29" s="4" t="s">
        <v>742</v>
      </c>
      <c r="C29" s="4" t="n">
        <v>1</v>
      </c>
      <c r="D29" s="6" t="n">
        <v>1.29</v>
      </c>
      <c r="E29" s="6" t="n">
        <f aca="false">C29*D29</f>
        <v>1.29</v>
      </c>
      <c r="F29" s="4" t="n">
        <v>160</v>
      </c>
      <c r="G29" s="4" t="n">
        <v>400</v>
      </c>
      <c r="H29" s="4" t="s">
        <v>69</v>
      </c>
      <c r="I29" s="4" t="n">
        <v>240</v>
      </c>
      <c r="J29" s="6" t="n">
        <v>0.2322</v>
      </c>
      <c r="K29" s="6" t="n">
        <v>0.5418</v>
      </c>
      <c r="L29" s="4" t="s">
        <v>858</v>
      </c>
    </row>
    <row r="30" customFormat="false" ht="15" hidden="false" customHeight="false" outlineLevel="0" collapsed="false">
      <c r="A30" s="5" t="s">
        <v>744</v>
      </c>
      <c r="B30" s="4" t="s">
        <v>742</v>
      </c>
      <c r="C30" s="4" t="n">
        <v>1</v>
      </c>
      <c r="D30" s="6" t="n">
        <v>1.29</v>
      </c>
      <c r="E30" s="6" t="n">
        <f aca="false">C30*D30</f>
        <v>1.29</v>
      </c>
      <c r="F30" s="4" t="n">
        <v>160</v>
      </c>
      <c r="G30" s="4" t="n">
        <v>1000</v>
      </c>
      <c r="H30" s="4" t="s">
        <v>69</v>
      </c>
      <c r="I30" s="4" t="n">
        <v>840</v>
      </c>
      <c r="J30" s="6" t="n">
        <v>0</v>
      </c>
      <c r="K30" s="6" t="n">
        <v>1.0836</v>
      </c>
      <c r="L30" s="4" t="s">
        <v>861</v>
      </c>
    </row>
    <row r="31" customFormat="false" ht="15" hidden="false" customHeight="false" outlineLevel="0" collapsed="false">
      <c r="A31" s="5" t="s">
        <v>746</v>
      </c>
      <c r="B31" s="4" t="s">
        <v>742</v>
      </c>
      <c r="C31" s="4" t="n">
        <v>1</v>
      </c>
      <c r="D31" s="6" t="n">
        <v>0.75</v>
      </c>
      <c r="E31" s="6" t="n">
        <f aca="false">C31*D31</f>
        <v>0.75</v>
      </c>
      <c r="F31" s="4" t="n">
        <v>450</v>
      </c>
      <c r="G31" s="4" t="n">
        <v>500</v>
      </c>
      <c r="H31" s="4" t="s">
        <v>69</v>
      </c>
      <c r="I31" s="4" t="n">
        <v>50</v>
      </c>
      <c r="J31" s="6" t="n">
        <v>0</v>
      </c>
      <c r="K31" s="6" t="n">
        <v>0.075</v>
      </c>
      <c r="L31" s="4" t="s">
        <v>866</v>
      </c>
    </row>
    <row r="32" customFormat="false" ht="15" hidden="false" customHeight="false" outlineLevel="0" collapsed="false">
      <c r="A32" s="5" t="s">
        <v>867</v>
      </c>
      <c r="B32" s="4" t="s">
        <v>742</v>
      </c>
      <c r="C32" s="4" t="n">
        <v>1</v>
      </c>
      <c r="D32" s="6" t="n">
        <v>2.05</v>
      </c>
      <c r="E32" s="6" t="n">
        <f aca="false">C32*D32</f>
        <v>2.05</v>
      </c>
      <c r="F32" s="4" t="n">
        <v>160</v>
      </c>
      <c r="G32" s="4" t="n">
        <v>320</v>
      </c>
      <c r="H32" s="4" t="s">
        <v>69</v>
      </c>
      <c r="I32" s="4" t="n">
        <v>160</v>
      </c>
      <c r="J32" s="8" t="n">
        <v>0.5125</v>
      </c>
      <c r="K32" s="6" t="n">
        <v>0.5125</v>
      </c>
      <c r="L32" s="4" t="s">
        <v>853</v>
      </c>
    </row>
    <row r="33" customFormat="false" ht="15" hidden="false" customHeight="false" outlineLevel="0" collapsed="false">
      <c r="A33" s="9" t="s">
        <v>748</v>
      </c>
      <c r="E33" s="17" t="n">
        <f aca="false">SUM(E16:E32)</f>
        <v>32.22</v>
      </c>
      <c r="J33" s="17" t="n">
        <f aca="false">SUM(J16:J32)</f>
        <v>2.41490025740026</v>
      </c>
      <c r="K33" s="17" t="n">
        <f aca="false">SUM(K16:K32)</f>
        <v>4.55821454311454</v>
      </c>
    </row>
    <row r="34" customFormat="false" ht="15" hidden="false" customHeight="false" outlineLevel="0" collapsed="false">
      <c r="A34" s="18" t="s">
        <v>27</v>
      </c>
      <c r="B34" s="18" t="s">
        <v>749</v>
      </c>
      <c r="C34" s="4" t="n">
        <v>1</v>
      </c>
      <c r="D34" s="6" t="n">
        <v>5.79</v>
      </c>
      <c r="E34" s="6" t="n">
        <f aca="false">C34*D34</f>
        <v>5.79</v>
      </c>
      <c r="L34" s="4" t="s">
        <v>750</v>
      </c>
    </row>
    <row r="35" customFormat="false" ht="15" hidden="false" customHeight="false" outlineLevel="0" collapsed="false">
      <c r="A35" s="18" t="s">
        <v>28</v>
      </c>
      <c r="B35" s="18" t="s">
        <v>749</v>
      </c>
      <c r="C35" s="4" t="n">
        <v>1</v>
      </c>
      <c r="D35" s="6" t="n">
        <v>2.49</v>
      </c>
      <c r="E35" s="6" t="n">
        <f aca="false">C35*D35</f>
        <v>2.49</v>
      </c>
      <c r="L35" s="4" t="s">
        <v>751</v>
      </c>
    </row>
    <row r="36" customFormat="false" ht="15" hidden="false" customHeight="false" outlineLevel="0" collapsed="false">
      <c r="A36" s="9" t="s">
        <v>752</v>
      </c>
      <c r="E36" s="17" t="n">
        <f aca="false">E33+E34+E35</f>
        <v>40.5</v>
      </c>
    </row>
    <row r="38" customFormat="false" ht="16.15" hidden="false" customHeight="false" outlineLevel="0" collapsed="false">
      <c r="A38" s="1" t="s">
        <v>753</v>
      </c>
    </row>
    <row r="39" customFormat="false" ht="26.85" hidden="false" customHeight="false" outlineLevel="0" collapsed="false">
      <c r="A39" s="3" t="s">
        <v>754</v>
      </c>
      <c r="B39" s="3" t="s">
        <v>708</v>
      </c>
      <c r="C39" s="3" t="s">
        <v>63</v>
      </c>
      <c r="D39" s="3" t="s">
        <v>755</v>
      </c>
      <c r="E39" s="3" t="s">
        <v>711</v>
      </c>
      <c r="F39" s="3" t="s">
        <v>756</v>
      </c>
      <c r="G39" s="3" t="s">
        <v>757</v>
      </c>
      <c r="H39" s="3" t="s">
        <v>64</v>
      </c>
      <c r="I39" s="3" t="s">
        <v>758</v>
      </c>
      <c r="J39" s="3"/>
      <c r="K39" s="3" t="s">
        <v>759</v>
      </c>
      <c r="L39" s="3" t="s">
        <v>717</v>
      </c>
    </row>
    <row r="40" customFormat="false" ht="15" hidden="false" customHeight="false" outlineLevel="0" collapsed="false">
      <c r="A40" s="19" t="s">
        <v>335</v>
      </c>
      <c r="B40" s="10" t="s">
        <v>760</v>
      </c>
      <c r="C40" s="4" t="n">
        <v>1</v>
      </c>
      <c r="D40" s="6" t="n">
        <v>1.8</v>
      </c>
      <c r="E40" s="6" t="n">
        <f aca="false">C40*D40</f>
        <v>1.8</v>
      </c>
      <c r="F40" s="4" t="n">
        <v>4</v>
      </c>
      <c r="G40" s="4" t="n">
        <v>12</v>
      </c>
      <c r="H40" s="4" t="s">
        <v>69</v>
      </c>
      <c r="I40" s="4" t="n">
        <v>8</v>
      </c>
      <c r="K40" s="6" t="n">
        <f aca="false">D40*I40/G40</f>
        <v>1.2</v>
      </c>
      <c r="L40" s="4" t="s">
        <v>858</v>
      </c>
    </row>
    <row r="41" customFormat="false" ht="15" hidden="false" customHeight="false" outlineLevel="0" collapsed="false">
      <c r="A41" s="19" t="s">
        <v>308</v>
      </c>
      <c r="B41" s="10" t="s">
        <v>760</v>
      </c>
      <c r="C41" s="4" t="n">
        <v>1</v>
      </c>
      <c r="D41" s="6" t="n">
        <v>2.45</v>
      </c>
      <c r="E41" s="6" t="n">
        <f aca="false">C41*D41</f>
        <v>2.45</v>
      </c>
      <c r="F41" s="4" t="n">
        <v>20</v>
      </c>
      <c r="G41" s="4" t="n">
        <v>250</v>
      </c>
      <c r="H41" s="4" t="s">
        <v>69</v>
      </c>
      <c r="I41" s="4" t="n">
        <v>230</v>
      </c>
      <c r="K41" s="6" t="n">
        <f aca="false">D41*I41/G41</f>
        <v>2.254</v>
      </c>
      <c r="L41" s="4" t="s">
        <v>727</v>
      </c>
    </row>
    <row r="42" customFormat="false" ht="15" hidden="false" customHeight="false" outlineLevel="0" collapsed="false">
      <c r="A42" s="19" t="s">
        <v>78</v>
      </c>
      <c r="B42" s="10" t="s">
        <v>760</v>
      </c>
      <c r="C42" s="4" t="n">
        <v>1</v>
      </c>
      <c r="D42" s="6" t="n">
        <v>2.15</v>
      </c>
      <c r="E42" s="6" t="n">
        <f aca="false">C42*D42</f>
        <v>2.15</v>
      </c>
      <c r="F42" s="4" t="n">
        <v>4</v>
      </c>
      <c r="G42" s="4" t="n">
        <v>47</v>
      </c>
      <c r="H42" s="4" t="s">
        <v>69</v>
      </c>
      <c r="I42" s="4" t="n">
        <v>43</v>
      </c>
      <c r="K42" s="6" t="n">
        <f aca="false">D42*I42/G42</f>
        <v>1.96702127659574</v>
      </c>
      <c r="L42" s="4" t="s">
        <v>861</v>
      </c>
    </row>
    <row r="43" customFormat="false" ht="15" hidden="false" customHeight="false" outlineLevel="0" collapsed="false">
      <c r="A43" s="19" t="s">
        <v>87</v>
      </c>
      <c r="B43" s="10" t="s">
        <v>760</v>
      </c>
      <c r="C43" s="4" t="n">
        <v>1</v>
      </c>
      <c r="D43" s="6" t="n">
        <v>0.95</v>
      </c>
      <c r="E43" s="6" t="n">
        <f aca="false">C43*D43</f>
        <v>0.95</v>
      </c>
      <c r="F43" s="4" t="n">
        <v>10</v>
      </c>
      <c r="G43" s="4" t="n">
        <v>1000</v>
      </c>
      <c r="H43" s="4" t="s">
        <v>69</v>
      </c>
      <c r="I43" s="4" t="n">
        <v>990</v>
      </c>
      <c r="K43" s="6" t="n">
        <f aca="false">D43*I43/G43</f>
        <v>0.9405</v>
      </c>
      <c r="L43" s="4" t="s">
        <v>861</v>
      </c>
    </row>
    <row r="44" customFormat="false" ht="15" hidden="false" customHeight="false" outlineLevel="0" collapsed="false">
      <c r="A44" s="19" t="s">
        <v>90</v>
      </c>
      <c r="B44" s="10" t="s">
        <v>760</v>
      </c>
      <c r="C44" s="4" t="n">
        <v>1</v>
      </c>
      <c r="D44" s="6" t="n">
        <v>2.15</v>
      </c>
      <c r="E44" s="6" t="n">
        <f aca="false">C44*D44</f>
        <v>2.15</v>
      </c>
      <c r="F44" s="4" t="n">
        <v>60</v>
      </c>
      <c r="G44" s="4" t="n">
        <v>1000</v>
      </c>
      <c r="H44" s="4" t="s">
        <v>74</v>
      </c>
      <c r="I44" s="4" t="n">
        <v>940</v>
      </c>
      <c r="K44" s="6" t="n">
        <f aca="false">D44*I44/G44</f>
        <v>2.021</v>
      </c>
      <c r="L44" s="4" t="s">
        <v>868</v>
      </c>
    </row>
    <row r="45" customFormat="false" ht="15" hidden="false" customHeight="false" outlineLevel="0" collapsed="false">
      <c r="A45" s="19" t="s">
        <v>304</v>
      </c>
      <c r="B45" s="10" t="s">
        <v>760</v>
      </c>
      <c r="C45" s="4" t="n">
        <v>1</v>
      </c>
      <c r="D45" s="6" t="n">
        <v>1.85</v>
      </c>
      <c r="E45" s="6" t="n">
        <f aca="false">C45*D45</f>
        <v>1.85</v>
      </c>
      <c r="F45" s="4" t="n">
        <v>30</v>
      </c>
      <c r="G45" s="4" t="n">
        <v>430</v>
      </c>
      <c r="H45" s="4" t="s">
        <v>69</v>
      </c>
      <c r="I45" s="4" t="n">
        <v>400</v>
      </c>
      <c r="K45" s="6" t="n">
        <f aca="false">D45*I45/G45</f>
        <v>1.72093023255814</v>
      </c>
      <c r="L45" s="4" t="s">
        <v>727</v>
      </c>
    </row>
    <row r="46" customFormat="false" ht="15" hidden="false" customHeight="false" outlineLevel="0" collapsed="false">
      <c r="A46" s="19" t="s">
        <v>80</v>
      </c>
      <c r="B46" s="10" t="s">
        <v>760</v>
      </c>
      <c r="C46" s="4" t="n">
        <v>1</v>
      </c>
      <c r="D46" s="6" t="n">
        <v>1.69</v>
      </c>
      <c r="E46" s="6" t="n">
        <f aca="false">C46*D46</f>
        <v>1.69</v>
      </c>
      <c r="F46" s="4" t="n">
        <v>10</v>
      </c>
      <c r="G46" s="4" t="n">
        <v>150</v>
      </c>
      <c r="H46" s="4" t="s">
        <v>74</v>
      </c>
      <c r="I46" s="4" t="n">
        <v>140</v>
      </c>
      <c r="K46" s="6" t="n">
        <f aca="false">D46*I46/G46</f>
        <v>1.57733333333333</v>
      </c>
      <c r="L46" s="4" t="s">
        <v>861</v>
      </c>
    </row>
    <row r="47" customFormat="false" ht="15" hidden="false" customHeight="false" outlineLevel="0" collapsed="false">
      <c r="A47" s="19" t="s">
        <v>97</v>
      </c>
      <c r="B47" s="10" t="s">
        <v>760</v>
      </c>
      <c r="C47" s="4" t="n">
        <v>1</v>
      </c>
      <c r="D47" s="6" t="n">
        <v>0.5</v>
      </c>
      <c r="E47" s="6" t="n">
        <f aca="false">C47*D47</f>
        <v>0.5</v>
      </c>
      <c r="F47" s="4" t="n">
        <v>12</v>
      </c>
      <c r="G47" s="4" t="n">
        <v>100</v>
      </c>
      <c r="H47" s="4" t="s">
        <v>69</v>
      </c>
      <c r="I47" s="4" t="n">
        <v>88</v>
      </c>
      <c r="K47" s="6" t="n">
        <f aca="false">D47*I47/G47</f>
        <v>0.44</v>
      </c>
      <c r="L47" s="4" t="s">
        <v>869</v>
      </c>
    </row>
    <row r="48" customFormat="false" ht="15" hidden="false" customHeight="false" outlineLevel="0" collapsed="false">
      <c r="A48" s="19" t="s">
        <v>252</v>
      </c>
      <c r="B48" s="10" t="s">
        <v>760</v>
      </c>
      <c r="C48" s="4" t="n">
        <v>1</v>
      </c>
      <c r="D48" s="6" t="n">
        <v>1.09</v>
      </c>
      <c r="E48" s="6" t="n">
        <f aca="false">C48*D48</f>
        <v>1.09</v>
      </c>
      <c r="F48" s="4" t="n">
        <v>4</v>
      </c>
      <c r="G48" s="4" t="n">
        <v>750</v>
      </c>
      <c r="H48" s="4" t="s">
        <v>74</v>
      </c>
      <c r="I48" s="4" t="n">
        <v>746</v>
      </c>
      <c r="K48" s="6" t="n">
        <f aca="false">D48*I48/G48</f>
        <v>1.08418666666667</v>
      </c>
      <c r="L48" s="4" t="s">
        <v>853</v>
      </c>
    </row>
    <row r="49" customFormat="false" ht="15" hidden="false" customHeight="false" outlineLevel="0" collapsed="false">
      <c r="A49" s="9" t="s">
        <v>764</v>
      </c>
      <c r="E49" s="17" t="n">
        <f aca="false">SUM(E40:E48)</f>
        <v>14.63</v>
      </c>
    </row>
    <row r="51" customFormat="false" ht="16.15" hidden="false" customHeight="false" outlineLevel="0" collapsed="false">
      <c r="A51" s="1" t="s">
        <v>765</v>
      </c>
    </row>
    <row r="52" customFormat="false" ht="15" hidden="false" customHeight="false" outlineLevel="0" collapsed="false">
      <c r="A52" s="4" t="s">
        <v>766</v>
      </c>
      <c r="E52" s="6" t="n">
        <f aca="false">E36</f>
        <v>40.5</v>
      </c>
    </row>
    <row r="53" customFormat="false" ht="15" hidden="false" customHeight="false" outlineLevel="0" collapsed="false">
      <c r="A53" s="4" t="s">
        <v>767</v>
      </c>
      <c r="E53" s="6" t="n">
        <f aca="false">E49</f>
        <v>14.63</v>
      </c>
    </row>
    <row r="54" customFormat="false" ht="15" hidden="false" customHeight="false" outlineLevel="0" collapsed="false">
      <c r="A54" s="9" t="s">
        <v>768</v>
      </c>
      <c r="E54" s="17" t="n">
        <f aca="false">E36+E49</f>
        <v>55.13</v>
      </c>
    </row>
    <row r="55" customFormat="false" ht="15" hidden="false" customHeight="false" outlineLevel="0" collapsed="false">
      <c r="A55" s="4" t="s">
        <v>769</v>
      </c>
      <c r="E55" s="6" t="n">
        <v>55</v>
      </c>
    </row>
    <row r="56" customFormat="false" ht="15" hidden="false" customHeight="false" outlineLevel="0" collapsed="false">
      <c r="A56" s="4" t="s">
        <v>770</v>
      </c>
      <c r="E56" s="6" t="n">
        <f aca="false">E55-E54</f>
        <v>-0.129999999999995</v>
      </c>
    </row>
    <row r="57" customFormat="false" ht="15" hidden="false" customHeight="false" outlineLevel="0" collapsed="false">
      <c r="A57" s="4" t="s">
        <v>771</v>
      </c>
      <c r="E57" s="6" t="n">
        <f aca="false">J33</f>
        <v>2.41490025740026</v>
      </c>
    </row>
    <row r="58" customFormat="false" ht="15" hidden="false" customHeight="false" outlineLevel="0" collapsed="false">
      <c r="A58" s="4" t="s">
        <v>772</v>
      </c>
      <c r="E58" s="20" t="n">
        <f aca="false">J33/E36</f>
        <v>0.0596271668493891</v>
      </c>
    </row>
    <row r="59" customFormat="false" ht="15" hidden="false" customHeight="false" outlineLevel="0" collapsed="false">
      <c r="A59" s="4" t="s">
        <v>773</v>
      </c>
      <c r="E59" s="6" t="n">
        <f aca="false">K33</f>
        <v>4.55821454311454</v>
      </c>
    </row>
    <row r="60" customFormat="false" ht="15" hidden="false" customHeight="false" outlineLevel="0" collapsed="false">
      <c r="A60" s="4" t="s">
        <v>774</v>
      </c>
      <c r="E60" s="6" t="n">
        <f aca="false">(E36+E49)/14</f>
        <v>3.93785714285714</v>
      </c>
    </row>
    <row r="61" customFormat="false" ht="15" hidden="false" customHeight="false" outlineLevel="0" collapsed="false">
      <c r="A61" s="4" t="s">
        <v>775</v>
      </c>
      <c r="E61" s="6" t="n">
        <f aca="false">E36</f>
        <v>40.5</v>
      </c>
    </row>
    <row r="64" customFormat="false" ht="16.15" hidden="false" customHeight="false" outlineLevel="0" collapsed="false">
      <c r="A64" s="1" t="s">
        <v>776</v>
      </c>
    </row>
    <row r="65" customFormat="false" ht="15" hidden="false" customHeight="false" outlineLevel="0" collapsed="false">
      <c r="A65" s="21" t="s">
        <v>777</v>
      </c>
    </row>
    <row r="66" customFormat="false" ht="30" hidden="false" customHeight="true" outlineLevel="0" collapsed="false">
      <c r="A66" s="9" t="s">
        <v>62</v>
      </c>
      <c r="B66" s="5" t="s">
        <v>778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779</v>
      </c>
      <c r="B67" s="5" t="s">
        <v>311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8" hidden="false" customHeight="true" outlineLevel="0" collapsed="false">
      <c r="A68" s="4" t="s">
        <v>780</v>
      </c>
      <c r="B68" s="5" t="s">
        <v>312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8" hidden="false" customHeight="true" outlineLevel="0" collapsed="false">
      <c r="A69" s="4" t="s">
        <v>781</v>
      </c>
      <c r="B69" s="5" t="s">
        <v>313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8" hidden="false" customHeight="true" outlineLevel="0" collapsed="false">
      <c r="A70" s="4" t="s">
        <v>782</v>
      </c>
      <c r="B70" s="5" t="s">
        <v>314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8" hidden="false" customHeight="true" outlineLevel="0" collapsed="false">
      <c r="A71" s="4" t="s">
        <v>783</v>
      </c>
      <c r="B71" s="5" t="s">
        <v>315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30" hidden="false" customHeight="true" outlineLevel="0" collapsed="false">
      <c r="A72" s="4" t="s">
        <v>784</v>
      </c>
      <c r="B72" s="5" t="s">
        <v>316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30" hidden="false" customHeight="true" outlineLevel="0" collapsed="false">
      <c r="A73" s="4" t="s">
        <v>785</v>
      </c>
      <c r="B73" s="5" t="s">
        <v>317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5" customFormat="false" ht="15" hidden="false" customHeight="false" outlineLevel="0" collapsed="false">
      <c r="A75" s="21" t="s">
        <v>870</v>
      </c>
    </row>
    <row r="76" customFormat="false" ht="30" hidden="false" customHeight="true" outlineLevel="0" collapsed="false">
      <c r="A76" s="9" t="s">
        <v>62</v>
      </c>
      <c r="B76" s="5" t="s">
        <v>871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779</v>
      </c>
      <c r="B77" s="5" t="s">
        <v>368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45" hidden="false" customHeight="true" outlineLevel="0" collapsed="false">
      <c r="A78" s="4" t="s">
        <v>780</v>
      </c>
      <c r="B78" s="5" t="s">
        <v>369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781</v>
      </c>
      <c r="B79" s="5" t="s">
        <v>370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782</v>
      </c>
      <c r="B80" s="5" t="s">
        <v>371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18" hidden="false" customHeight="true" outlineLevel="0" collapsed="false">
      <c r="A81" s="4" t="s">
        <v>783</v>
      </c>
      <c r="B81" s="5" t="s">
        <v>372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3" customFormat="false" ht="15" hidden="false" customHeight="false" outlineLevel="0" collapsed="false">
      <c r="A83" s="21" t="s">
        <v>872</v>
      </c>
    </row>
    <row r="84" customFormat="false" ht="30" hidden="false" customHeight="true" outlineLevel="0" collapsed="false">
      <c r="A84" s="9" t="s">
        <v>62</v>
      </c>
      <c r="B84" s="5" t="s">
        <v>873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779</v>
      </c>
      <c r="B85" s="5" t="s">
        <v>602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30" hidden="false" customHeight="true" outlineLevel="0" collapsed="false">
      <c r="A86" s="4" t="s">
        <v>780</v>
      </c>
      <c r="B86" s="5" t="s">
        <v>603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30" hidden="false" customHeight="true" outlineLevel="0" collapsed="false">
      <c r="A87" s="4" t="s">
        <v>781</v>
      </c>
      <c r="B87" s="5" t="s">
        <v>604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30" hidden="false" customHeight="true" outlineLevel="0" collapsed="false">
      <c r="A88" s="4" t="s">
        <v>782</v>
      </c>
      <c r="B88" s="5" t="s">
        <v>605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783</v>
      </c>
      <c r="B89" s="5" t="s">
        <v>606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4" t="s">
        <v>784</v>
      </c>
      <c r="B90" s="5" t="s">
        <v>607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30" hidden="false" customHeight="true" outlineLevel="0" collapsed="false">
      <c r="A91" s="4" t="s">
        <v>785</v>
      </c>
      <c r="B91" s="5" t="s">
        <v>608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3" customFormat="false" ht="15" hidden="false" customHeight="false" outlineLevel="0" collapsed="false">
      <c r="A93" s="21" t="s">
        <v>874</v>
      </c>
    </row>
    <row r="94" customFormat="false" ht="30" hidden="false" customHeight="true" outlineLevel="0" collapsed="false">
      <c r="A94" s="9" t="s">
        <v>62</v>
      </c>
      <c r="B94" s="5" t="s">
        <v>875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30" hidden="false" customHeight="true" outlineLevel="0" collapsed="false">
      <c r="A95" s="4" t="s">
        <v>779</v>
      </c>
      <c r="B95" s="5" t="s">
        <v>102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780</v>
      </c>
      <c r="B96" s="5" t="s">
        <v>103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8" hidden="false" customHeight="true" outlineLevel="0" collapsed="false">
      <c r="A97" s="4" t="s">
        <v>781</v>
      </c>
      <c r="B97" s="5" t="s">
        <v>104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782</v>
      </c>
      <c r="B98" s="5" t="s">
        <v>105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783</v>
      </c>
      <c r="B99" s="5" t="s">
        <v>106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30" hidden="false" customHeight="true" outlineLevel="0" collapsed="false">
      <c r="A100" s="4" t="s">
        <v>784</v>
      </c>
      <c r="B100" s="5" t="s">
        <v>107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18" hidden="false" customHeight="true" outlineLevel="0" collapsed="false">
      <c r="A101" s="4" t="s">
        <v>785</v>
      </c>
      <c r="B101" s="5" t="s">
        <v>108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customFormat="false" ht="30" hidden="false" customHeight="true" outlineLevel="0" collapsed="false">
      <c r="A102" s="4" t="s">
        <v>839</v>
      </c>
      <c r="B102" s="5" t="s">
        <v>109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4" customFormat="false" ht="15" hidden="false" customHeight="false" outlineLevel="0" collapsed="false">
      <c r="A104" s="21" t="s">
        <v>876</v>
      </c>
    </row>
    <row r="105" customFormat="false" ht="30" hidden="false" customHeight="true" outlineLevel="0" collapsed="false">
      <c r="A105" s="9" t="s">
        <v>62</v>
      </c>
      <c r="B105" s="5" t="s">
        <v>877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779</v>
      </c>
      <c r="B106" s="5" t="s">
        <v>253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8" hidden="false" customHeight="true" outlineLevel="0" collapsed="false">
      <c r="A107" s="4" t="s">
        <v>780</v>
      </c>
      <c r="B107" s="5" t="s">
        <v>254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781</v>
      </c>
      <c r="B108" s="5" t="s">
        <v>255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30" hidden="false" customHeight="true" outlineLevel="0" collapsed="false">
      <c r="A109" s="4" t="s">
        <v>782</v>
      </c>
      <c r="B109" s="5" t="s">
        <v>256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30" hidden="false" customHeight="true" outlineLevel="0" collapsed="false">
      <c r="A110" s="4" t="s">
        <v>783</v>
      </c>
      <c r="B110" s="5" t="s">
        <v>257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customFormat="false" ht="30" hidden="false" customHeight="true" outlineLevel="0" collapsed="false">
      <c r="A111" s="4" t="s">
        <v>784</v>
      </c>
      <c r="B111" s="5" t="s">
        <v>258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</row>
  </sheetData>
  <mergeCells count="38">
    <mergeCell ref="B66:L66"/>
    <mergeCell ref="B67:L67"/>
    <mergeCell ref="B68:L68"/>
    <mergeCell ref="B69:L69"/>
    <mergeCell ref="B70:L70"/>
    <mergeCell ref="B71:L71"/>
    <mergeCell ref="B72:L72"/>
    <mergeCell ref="B73:L73"/>
    <mergeCell ref="B76:L76"/>
    <mergeCell ref="B77:L77"/>
    <mergeCell ref="B78:L78"/>
    <mergeCell ref="B79:L79"/>
    <mergeCell ref="B80:L80"/>
    <mergeCell ref="B81:L81"/>
    <mergeCell ref="B84:L84"/>
    <mergeCell ref="B85:L85"/>
    <mergeCell ref="B86:L86"/>
    <mergeCell ref="B87:L87"/>
    <mergeCell ref="B88:L88"/>
    <mergeCell ref="B89:L89"/>
    <mergeCell ref="B90:L90"/>
    <mergeCell ref="B91:L91"/>
    <mergeCell ref="B94:L94"/>
    <mergeCell ref="B95:L95"/>
    <mergeCell ref="B96:L96"/>
    <mergeCell ref="B97:L97"/>
    <mergeCell ref="B98:L98"/>
    <mergeCell ref="B99:L99"/>
    <mergeCell ref="B100:L100"/>
    <mergeCell ref="B101:L101"/>
    <mergeCell ref="B102:L102"/>
    <mergeCell ref="B105:L105"/>
    <mergeCell ref="B106:L106"/>
    <mergeCell ref="B107:L107"/>
    <mergeCell ref="B108:L108"/>
    <mergeCell ref="B109:L109"/>
    <mergeCell ref="B110:L110"/>
    <mergeCell ref="B111:L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878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879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442</v>
      </c>
      <c r="D6" s="4" t="n">
        <f aca="false">ROUND(Nutrition!H253,0)</f>
        <v>838</v>
      </c>
      <c r="E6" s="5" t="s">
        <v>688</v>
      </c>
      <c r="F6" s="5" t="s">
        <v>446</v>
      </c>
      <c r="G6" s="4" t="str">
        <f aca="false">ROUND(Nutrition!I253,0)&amp;" / "&amp;ROUND(Nutrition!J253,0)&amp;" / "&amp;ROUND(Nutrition!K253,0)</f>
        <v>50 / 105 / 23</v>
      </c>
    </row>
    <row r="7" customFormat="false" ht="31.5" hidden="false" customHeight="true" outlineLevel="0" collapsed="false">
      <c r="A7" s="4" t="s">
        <v>686</v>
      </c>
      <c r="B7" s="5" t="s">
        <v>690</v>
      </c>
      <c r="C7" s="16" t="s">
        <v>609</v>
      </c>
      <c r="D7" s="4" t="n">
        <f aca="false">ROUND(Nutrition!H382,0)</f>
        <v>807</v>
      </c>
      <c r="E7" s="5" t="s">
        <v>803</v>
      </c>
      <c r="F7" s="5" t="s">
        <v>613</v>
      </c>
      <c r="G7" s="4" t="str">
        <f aca="false">ROUND(Nutrition!I382,0)&amp;" / "&amp;ROUND(Nutrition!J382,0)&amp;" / "&amp;ROUND(Nutrition!K382,0)</f>
        <v>34 / 105 / 26</v>
      </c>
    </row>
    <row r="8" customFormat="false" ht="31.5" hidden="false" customHeight="true" outlineLevel="0" collapsed="false">
      <c r="A8" s="4" t="s">
        <v>689</v>
      </c>
      <c r="B8" s="5" t="s">
        <v>804</v>
      </c>
      <c r="C8" s="16" t="s">
        <v>277</v>
      </c>
      <c r="D8" s="4" t="n">
        <f aca="false">ROUND(Nutrition!H135,0)</f>
        <v>708</v>
      </c>
      <c r="E8" s="5" t="s">
        <v>694</v>
      </c>
      <c r="F8" s="5" t="s">
        <v>280</v>
      </c>
      <c r="G8" s="4" t="str">
        <f aca="false">ROUND(Nutrition!I135,0)&amp;" / "&amp;ROUND(Nutrition!J135,0)&amp;" / "&amp;ROUND(Nutrition!K135,0)</f>
        <v>21 / 77 / 35</v>
      </c>
    </row>
    <row r="9" customFormat="false" ht="31.5" hidden="false" customHeight="true" outlineLevel="0" collapsed="false">
      <c r="A9" s="4" t="s">
        <v>692</v>
      </c>
      <c r="B9" s="5" t="s">
        <v>696</v>
      </c>
      <c r="C9" s="16" t="s">
        <v>514</v>
      </c>
      <c r="D9" s="4" t="n">
        <f aca="false">ROUND(Nutrition!H304,0)</f>
        <v>863</v>
      </c>
      <c r="E9" s="5" t="s">
        <v>697</v>
      </c>
      <c r="F9" s="5"/>
      <c r="G9" s="4" t="str">
        <f aca="false">ROUND(Nutrition!I304,0)&amp;" / "&amp;ROUND(Nutrition!J304,0)&amp;" / "&amp;ROUND(Nutrition!K304,0)</f>
        <v>33 / 96 / 38</v>
      </c>
    </row>
    <row r="10" customFormat="false" ht="31.5" hidden="false" customHeight="true" outlineLevel="0" collapsed="false">
      <c r="A10" s="4" t="s">
        <v>695</v>
      </c>
      <c r="B10" s="5" t="s">
        <v>880</v>
      </c>
      <c r="C10" s="16" t="s">
        <v>419</v>
      </c>
      <c r="D10" s="4" t="n">
        <f aca="false">ROUND(Nutrition!H235,0)</f>
        <v>780</v>
      </c>
      <c r="E10" s="5" t="s">
        <v>697</v>
      </c>
      <c r="F10" s="5"/>
      <c r="G10" s="4" t="str">
        <f aca="false">ROUND(Nutrition!I235,0)&amp;" / "&amp;ROUND(Nutrition!J235,0)&amp;" / "&amp;ROUND(Nutrition!K235,0)</f>
        <v>38 / 36 / 52</v>
      </c>
    </row>
    <row r="11" customFormat="false" ht="52.2" hidden="false" customHeight="false" outlineLevel="0" collapsed="false">
      <c r="A11" s="4" t="s">
        <v>698</v>
      </c>
      <c r="B11" s="5" t="s">
        <v>699</v>
      </c>
      <c r="C11" s="4" t="s">
        <v>881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881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718</v>
      </c>
      <c r="B16" s="4" t="s">
        <v>719</v>
      </c>
      <c r="C16" s="4" t="n">
        <v>1</v>
      </c>
      <c r="D16" s="6" t="n">
        <v>1.85</v>
      </c>
      <c r="E16" s="6" t="n">
        <f aca="false">C16*D16</f>
        <v>1.85</v>
      </c>
      <c r="F16" s="4" t="n">
        <v>120</v>
      </c>
      <c r="G16" s="4" t="n">
        <v>120</v>
      </c>
      <c r="H16" s="4" t="s">
        <v>69</v>
      </c>
      <c r="I16" s="4" t="n">
        <v>0</v>
      </c>
      <c r="J16" s="6" t="n">
        <v>0</v>
      </c>
      <c r="K16" s="6" t="n">
        <v>0</v>
      </c>
      <c r="L16" s="4" t="s">
        <v>720</v>
      </c>
    </row>
    <row r="17" customFormat="false" ht="15" hidden="false" customHeight="false" outlineLevel="0" collapsed="false">
      <c r="A17" s="5" t="s">
        <v>721</v>
      </c>
      <c r="B17" s="4" t="s">
        <v>719</v>
      </c>
      <c r="C17" s="4" t="n">
        <v>1</v>
      </c>
      <c r="D17" s="6" t="n">
        <v>2.09</v>
      </c>
      <c r="E17" s="6" t="n">
        <f aca="false">C17*D17</f>
        <v>2.09</v>
      </c>
      <c r="F17" s="4" t="n">
        <v>180</v>
      </c>
      <c r="G17" s="4" t="n">
        <v>200</v>
      </c>
      <c r="H17" s="4" t="s">
        <v>69</v>
      </c>
      <c r="I17" s="4" t="n">
        <v>20</v>
      </c>
      <c r="J17" s="6" t="n">
        <v>0.1045</v>
      </c>
      <c r="K17" s="6" t="n">
        <v>0.1045</v>
      </c>
      <c r="L17" s="4" t="s">
        <v>882</v>
      </c>
    </row>
    <row r="18" customFormat="false" ht="15" hidden="false" customHeight="false" outlineLevel="0" collapsed="false">
      <c r="A18" s="5" t="s">
        <v>723</v>
      </c>
      <c r="B18" s="4" t="s">
        <v>719</v>
      </c>
      <c r="C18" s="4" t="n">
        <v>1</v>
      </c>
      <c r="D18" s="6" t="n">
        <v>1.75</v>
      </c>
      <c r="E18" s="6" t="n">
        <f aca="false">C18*D18</f>
        <v>1.75</v>
      </c>
      <c r="F18" s="4" t="n">
        <v>280</v>
      </c>
      <c r="G18" s="4" t="n">
        <v>350</v>
      </c>
      <c r="H18" s="4" t="s">
        <v>69</v>
      </c>
      <c r="I18" s="4" t="n">
        <v>70</v>
      </c>
      <c r="J18" s="6" t="n">
        <v>0.175</v>
      </c>
      <c r="K18" s="6" t="n">
        <v>0.175</v>
      </c>
      <c r="L18" s="4" t="s">
        <v>724</v>
      </c>
    </row>
    <row r="19" customFormat="false" ht="15" hidden="false" customHeight="false" outlineLevel="0" collapsed="false">
      <c r="A19" s="5" t="s">
        <v>883</v>
      </c>
      <c r="B19" s="4" t="s">
        <v>726</v>
      </c>
      <c r="C19" s="4" t="n">
        <v>1</v>
      </c>
      <c r="D19" s="6" t="n">
        <v>2.09</v>
      </c>
      <c r="E19" s="6" t="n">
        <f aca="false">C19*D19</f>
        <v>2.09</v>
      </c>
      <c r="F19" s="4" t="n">
        <v>100</v>
      </c>
      <c r="G19" s="4" t="n">
        <v>180</v>
      </c>
      <c r="H19" s="4" t="s">
        <v>69</v>
      </c>
      <c r="I19" s="4" t="n">
        <v>80</v>
      </c>
      <c r="J19" s="6" t="n">
        <v>0.464444444444444</v>
      </c>
      <c r="K19" s="6" t="n">
        <v>0.464444444444444</v>
      </c>
      <c r="L19" s="4" t="s">
        <v>884</v>
      </c>
    </row>
    <row r="20" customFormat="false" ht="15" hidden="false" customHeight="false" outlineLevel="0" collapsed="false">
      <c r="A20" s="5" t="s">
        <v>728</v>
      </c>
      <c r="B20" s="4" t="s">
        <v>726</v>
      </c>
      <c r="C20" s="4" t="n">
        <v>1</v>
      </c>
      <c r="D20" s="6" t="n">
        <v>0.69</v>
      </c>
      <c r="E20" s="6" t="n">
        <f aca="false">C20*D20</f>
        <v>0.69</v>
      </c>
      <c r="F20" s="4" t="n">
        <v>150</v>
      </c>
      <c r="G20" s="4" t="n">
        <v>200</v>
      </c>
      <c r="H20" s="4" t="s">
        <v>74</v>
      </c>
      <c r="I20" s="4" t="n">
        <v>50</v>
      </c>
      <c r="J20" s="6" t="n">
        <v>0</v>
      </c>
      <c r="K20" s="6" t="n">
        <v>0.1725</v>
      </c>
      <c r="L20" s="4" t="s">
        <v>884</v>
      </c>
    </row>
    <row r="21" customFormat="false" ht="15" hidden="false" customHeight="false" outlineLevel="0" collapsed="false">
      <c r="A21" s="5" t="s">
        <v>811</v>
      </c>
      <c r="B21" s="4" t="s">
        <v>726</v>
      </c>
      <c r="C21" s="4" t="n">
        <v>1</v>
      </c>
      <c r="D21" s="6" t="n">
        <v>1.19</v>
      </c>
      <c r="E21" s="6" t="n">
        <f aca="false">C21*D21</f>
        <v>1.19</v>
      </c>
      <c r="F21" s="4" t="n">
        <v>30</v>
      </c>
      <c r="G21" s="4" t="n">
        <v>60</v>
      </c>
      <c r="H21" s="4" t="s">
        <v>69</v>
      </c>
      <c r="I21" s="4" t="n">
        <v>30</v>
      </c>
      <c r="J21" s="6" t="n">
        <v>0</v>
      </c>
      <c r="K21" s="6" t="n">
        <v>0.595</v>
      </c>
      <c r="L21" s="4" t="s">
        <v>829</v>
      </c>
    </row>
    <row r="22" customFormat="false" ht="15" hidden="false" customHeight="false" outlineLevel="0" collapsed="false">
      <c r="A22" s="5" t="s">
        <v>813</v>
      </c>
      <c r="B22" s="4" t="s">
        <v>726</v>
      </c>
      <c r="C22" s="4" t="n">
        <v>1</v>
      </c>
      <c r="D22" s="6" t="n">
        <v>1.15</v>
      </c>
      <c r="E22" s="6" t="n">
        <f aca="false">C22*D22</f>
        <v>1.15</v>
      </c>
      <c r="F22" s="4" t="n">
        <v>124</v>
      </c>
      <c r="G22" s="4" t="n">
        <v>125</v>
      </c>
      <c r="H22" s="4" t="s">
        <v>69</v>
      </c>
      <c r="I22" s="4" t="n">
        <v>1</v>
      </c>
      <c r="J22" s="6" t="n">
        <v>0.0092</v>
      </c>
      <c r="K22" s="6" t="n">
        <v>0</v>
      </c>
      <c r="L22" s="4" t="s">
        <v>829</v>
      </c>
    </row>
    <row r="23" customFormat="false" ht="15" hidden="false" customHeight="false" outlineLevel="0" collapsed="false">
      <c r="A23" s="5" t="s">
        <v>731</v>
      </c>
      <c r="B23" s="4" t="s">
        <v>732</v>
      </c>
      <c r="C23" s="4" t="n">
        <v>1</v>
      </c>
      <c r="D23" s="6" t="n">
        <v>2.29</v>
      </c>
      <c r="E23" s="6" t="n">
        <f aca="false">C23*D23</f>
        <v>2.29</v>
      </c>
      <c r="F23" s="4" t="n">
        <v>300</v>
      </c>
      <c r="G23" s="4" t="n">
        <v>750</v>
      </c>
      <c r="H23" s="4" t="s">
        <v>69</v>
      </c>
      <c r="I23" s="4" t="n">
        <v>450</v>
      </c>
      <c r="J23" s="8" t="n">
        <v>0.687</v>
      </c>
      <c r="K23" s="6" t="n">
        <v>0.687</v>
      </c>
      <c r="L23" s="4" t="s">
        <v>733</v>
      </c>
    </row>
    <row r="24" customFormat="false" ht="15" hidden="false" customHeight="false" outlineLevel="0" collapsed="false">
      <c r="A24" s="5" t="s">
        <v>734</v>
      </c>
      <c r="B24" s="4" t="s">
        <v>732</v>
      </c>
      <c r="C24" s="4" t="n">
        <v>1</v>
      </c>
      <c r="D24" s="6" t="n">
        <v>2.69</v>
      </c>
      <c r="E24" s="6" t="n">
        <f aca="false">C24*D24</f>
        <v>2.69</v>
      </c>
      <c r="F24" s="4" t="n">
        <v>250</v>
      </c>
      <c r="G24" s="4" t="n">
        <v>1000</v>
      </c>
      <c r="H24" s="4" t="s">
        <v>69</v>
      </c>
      <c r="I24" s="4" t="n">
        <v>750</v>
      </c>
      <c r="J24" s="6" t="n">
        <v>0.4035</v>
      </c>
      <c r="K24" s="6" t="n">
        <v>1.614</v>
      </c>
      <c r="L24" s="4" t="s">
        <v>885</v>
      </c>
    </row>
    <row r="25" customFormat="false" ht="15" hidden="false" customHeight="false" outlineLevel="0" collapsed="false">
      <c r="A25" s="5" t="s">
        <v>736</v>
      </c>
      <c r="B25" s="4" t="s">
        <v>732</v>
      </c>
      <c r="C25" s="4" t="n">
        <v>1</v>
      </c>
      <c r="D25" s="6" t="n">
        <v>0.99</v>
      </c>
      <c r="E25" s="6" t="n">
        <f aca="false">C25*D25</f>
        <v>0.99</v>
      </c>
      <c r="F25" s="4" t="n">
        <v>100</v>
      </c>
      <c r="G25" s="4" t="n">
        <v>150</v>
      </c>
      <c r="H25" s="4" t="s">
        <v>69</v>
      </c>
      <c r="I25" s="4" t="n">
        <v>50</v>
      </c>
      <c r="J25" s="6" t="n">
        <v>0.33</v>
      </c>
      <c r="K25" s="6" t="n">
        <v>0</v>
      </c>
      <c r="L25" s="4" t="s">
        <v>720</v>
      </c>
    </row>
    <row r="26" customFormat="false" ht="15" hidden="false" customHeight="false" outlineLevel="0" collapsed="false">
      <c r="A26" s="5" t="s">
        <v>739</v>
      </c>
      <c r="B26" s="4" t="s">
        <v>738</v>
      </c>
      <c r="C26" s="4" t="n">
        <v>1</v>
      </c>
      <c r="D26" s="6" t="n">
        <v>3.89</v>
      </c>
      <c r="E26" s="6" t="n">
        <f aca="false">C26*D26</f>
        <v>3.89</v>
      </c>
      <c r="F26" s="4" t="n">
        <v>240</v>
      </c>
      <c r="G26" s="4" t="n">
        <v>260</v>
      </c>
      <c r="H26" s="4" t="s">
        <v>69</v>
      </c>
      <c r="I26" s="4" t="n">
        <v>20</v>
      </c>
      <c r="J26" s="6" t="n">
        <v>0.299230769230769</v>
      </c>
      <c r="K26" s="6" t="n">
        <v>0</v>
      </c>
      <c r="L26" s="4" t="s">
        <v>740</v>
      </c>
    </row>
    <row r="27" customFormat="false" ht="15" hidden="false" customHeight="false" outlineLevel="0" collapsed="false">
      <c r="A27" s="5" t="s">
        <v>741</v>
      </c>
      <c r="B27" s="4" t="s">
        <v>742</v>
      </c>
      <c r="C27" s="4" t="n">
        <v>1</v>
      </c>
      <c r="D27" s="6" t="n">
        <v>1.29</v>
      </c>
      <c r="E27" s="6" t="n">
        <f aca="false">C27*D27</f>
        <v>1.29</v>
      </c>
      <c r="F27" s="4" t="n">
        <v>400</v>
      </c>
      <c r="G27" s="4" t="n">
        <v>530</v>
      </c>
      <c r="H27" s="4" t="s">
        <v>69</v>
      </c>
      <c r="I27" s="4" t="n">
        <v>130</v>
      </c>
      <c r="J27" s="6" t="n">
        <v>0.0949245283018868</v>
      </c>
      <c r="K27" s="6" t="n">
        <v>0.221490566037736</v>
      </c>
      <c r="L27" s="4" t="s">
        <v>724</v>
      </c>
    </row>
    <row r="28" customFormat="false" ht="15" hidden="false" customHeight="false" outlineLevel="0" collapsed="false">
      <c r="A28" s="5" t="s">
        <v>743</v>
      </c>
      <c r="B28" s="4" t="s">
        <v>742</v>
      </c>
      <c r="C28" s="4" t="n">
        <v>1</v>
      </c>
      <c r="D28" s="6" t="n">
        <v>0.79</v>
      </c>
      <c r="E28" s="6" t="n">
        <f aca="false">C28*D28</f>
        <v>0.79</v>
      </c>
      <c r="F28" s="4" t="n">
        <v>200</v>
      </c>
      <c r="G28" s="4" t="n">
        <v>265</v>
      </c>
      <c r="H28" s="4" t="s">
        <v>69</v>
      </c>
      <c r="I28" s="4" t="n">
        <v>65</v>
      </c>
      <c r="J28" s="6" t="n">
        <v>0.0581320754716981</v>
      </c>
      <c r="K28" s="6" t="n">
        <v>0.135641509433962</v>
      </c>
      <c r="L28" s="4" t="s">
        <v>740</v>
      </c>
    </row>
    <row r="29" customFormat="false" ht="15" hidden="false" customHeight="false" outlineLevel="0" collapsed="false">
      <c r="A29" s="5" t="s">
        <v>744</v>
      </c>
      <c r="B29" s="4" t="s">
        <v>742</v>
      </c>
      <c r="C29" s="4" t="n">
        <v>1</v>
      </c>
      <c r="D29" s="6" t="n">
        <v>1.29</v>
      </c>
      <c r="E29" s="6" t="n">
        <f aca="false">C29*D29</f>
        <v>1.29</v>
      </c>
      <c r="F29" s="4" t="n">
        <v>180</v>
      </c>
      <c r="G29" s="4" t="n">
        <v>1000</v>
      </c>
      <c r="H29" s="4" t="s">
        <v>69</v>
      </c>
      <c r="I29" s="4" t="n">
        <v>820</v>
      </c>
      <c r="J29" s="6" t="n">
        <v>0</v>
      </c>
      <c r="K29" s="6" t="n">
        <v>1.0578</v>
      </c>
      <c r="L29" s="4" t="s">
        <v>720</v>
      </c>
    </row>
    <row r="30" customFormat="false" ht="26.85" hidden="false" customHeight="false" outlineLevel="0" collapsed="false">
      <c r="A30" s="5" t="s">
        <v>828</v>
      </c>
      <c r="B30" s="4" t="s">
        <v>742</v>
      </c>
      <c r="C30" s="4" t="n">
        <v>1</v>
      </c>
      <c r="D30" s="6" t="n">
        <v>1.29</v>
      </c>
      <c r="E30" s="6" t="n">
        <f aca="false">C30*D30</f>
        <v>1.29</v>
      </c>
      <c r="F30" s="4" t="n">
        <v>420</v>
      </c>
      <c r="G30" s="4" t="n">
        <v>420</v>
      </c>
      <c r="H30" s="4" t="s">
        <v>74</v>
      </c>
      <c r="I30" s="4" t="n">
        <v>0</v>
      </c>
      <c r="J30" s="6" t="n">
        <v>0</v>
      </c>
      <c r="K30" s="6" t="n">
        <v>0</v>
      </c>
      <c r="L30" s="4" t="s">
        <v>829</v>
      </c>
    </row>
    <row r="31" customFormat="false" ht="15" hidden="false" customHeight="false" outlineLevel="0" collapsed="false">
      <c r="A31" s="5" t="s">
        <v>745</v>
      </c>
      <c r="B31" s="4" t="s">
        <v>742</v>
      </c>
      <c r="C31" s="4" t="n">
        <v>1</v>
      </c>
      <c r="D31" s="6" t="n">
        <v>1.05</v>
      </c>
      <c r="E31" s="6" t="n">
        <f aca="false">C31*D31</f>
        <v>1.05</v>
      </c>
      <c r="F31" s="4" t="n">
        <v>200</v>
      </c>
      <c r="G31" s="4" t="n">
        <v>500</v>
      </c>
      <c r="H31" s="4" t="s">
        <v>69</v>
      </c>
      <c r="I31" s="4" t="n">
        <v>300</v>
      </c>
      <c r="J31" s="6" t="n">
        <v>0</v>
      </c>
      <c r="K31" s="6" t="n">
        <v>0.63</v>
      </c>
      <c r="L31" s="4" t="s">
        <v>740</v>
      </c>
    </row>
    <row r="32" customFormat="false" ht="15" hidden="false" customHeight="false" outlineLevel="0" collapsed="false">
      <c r="A32" s="5" t="s">
        <v>746</v>
      </c>
      <c r="B32" s="4" t="s">
        <v>742</v>
      </c>
      <c r="C32" s="4" t="n">
        <v>1</v>
      </c>
      <c r="D32" s="6" t="n">
        <v>0.75</v>
      </c>
      <c r="E32" s="6" t="n">
        <f aca="false">C32*D32</f>
        <v>0.75</v>
      </c>
      <c r="F32" s="4" t="n">
        <v>490</v>
      </c>
      <c r="G32" s="4" t="n">
        <v>500</v>
      </c>
      <c r="H32" s="4" t="s">
        <v>69</v>
      </c>
      <c r="I32" s="4" t="n">
        <v>10</v>
      </c>
      <c r="J32" s="6" t="n">
        <v>0</v>
      </c>
      <c r="K32" s="6" t="n">
        <v>0.015</v>
      </c>
      <c r="L32" s="4" t="s">
        <v>886</v>
      </c>
    </row>
    <row r="33" customFormat="false" ht="15" hidden="false" customHeight="false" outlineLevel="0" collapsed="false">
      <c r="A33" s="9" t="s">
        <v>748</v>
      </c>
      <c r="E33" s="17" t="n">
        <f aca="false">SUM(E16:E32)</f>
        <v>27.13</v>
      </c>
      <c r="J33" s="17" t="n">
        <f aca="false">SUM(J16:J32)</f>
        <v>2.6259318174488</v>
      </c>
      <c r="K33" s="17" t="n">
        <f aca="false">SUM(K16:K32)</f>
        <v>5.87237651991614</v>
      </c>
    </row>
    <row r="34" customFormat="false" ht="15" hidden="false" customHeight="false" outlineLevel="0" collapsed="false">
      <c r="A34" s="18" t="s">
        <v>31</v>
      </c>
      <c r="B34" s="18" t="s">
        <v>749</v>
      </c>
      <c r="C34" s="4" t="n">
        <v>1</v>
      </c>
      <c r="D34" s="6" t="n">
        <v>4.95</v>
      </c>
      <c r="E34" s="6" t="n">
        <f aca="false">C34*D34</f>
        <v>4.95</v>
      </c>
      <c r="L34" s="4" t="s">
        <v>750</v>
      </c>
    </row>
    <row r="35" customFormat="false" ht="15" hidden="false" customHeight="false" outlineLevel="0" collapsed="false">
      <c r="A35" s="18" t="s">
        <v>32</v>
      </c>
      <c r="B35" s="18" t="s">
        <v>749</v>
      </c>
      <c r="C35" s="4" t="n">
        <v>1</v>
      </c>
      <c r="D35" s="6" t="n">
        <v>2.05</v>
      </c>
      <c r="E35" s="6" t="n">
        <f aca="false">C35*D35</f>
        <v>2.05</v>
      </c>
      <c r="L35" s="4" t="s">
        <v>751</v>
      </c>
    </row>
    <row r="36" customFormat="false" ht="15" hidden="false" customHeight="false" outlineLevel="0" collapsed="false">
      <c r="A36" s="9" t="s">
        <v>752</v>
      </c>
      <c r="E36" s="17" t="n">
        <f aca="false">E33+E34+E35</f>
        <v>34.13</v>
      </c>
    </row>
    <row r="38" customFormat="false" ht="16.15" hidden="false" customHeight="false" outlineLevel="0" collapsed="false">
      <c r="A38" s="1" t="s">
        <v>753</v>
      </c>
    </row>
    <row r="39" customFormat="false" ht="26.85" hidden="false" customHeight="false" outlineLevel="0" collapsed="false">
      <c r="A39" s="3" t="s">
        <v>754</v>
      </c>
      <c r="B39" s="3" t="s">
        <v>708</v>
      </c>
      <c r="C39" s="3" t="s">
        <v>63</v>
      </c>
      <c r="D39" s="3" t="s">
        <v>755</v>
      </c>
      <c r="E39" s="3" t="s">
        <v>711</v>
      </c>
      <c r="F39" s="3" t="s">
        <v>756</v>
      </c>
      <c r="G39" s="3" t="s">
        <v>757</v>
      </c>
      <c r="H39" s="3" t="s">
        <v>64</v>
      </c>
      <c r="I39" s="3" t="s">
        <v>758</v>
      </c>
      <c r="J39" s="3"/>
      <c r="K39" s="3" t="s">
        <v>759</v>
      </c>
      <c r="L39" s="3" t="s">
        <v>717</v>
      </c>
    </row>
    <row r="40" customFormat="false" ht="15" hidden="false" customHeight="false" outlineLevel="0" collapsed="false">
      <c r="A40" s="19" t="s">
        <v>308</v>
      </c>
      <c r="B40" s="10" t="s">
        <v>760</v>
      </c>
      <c r="C40" s="4" t="n">
        <v>1</v>
      </c>
      <c r="D40" s="6" t="n">
        <v>2.45</v>
      </c>
      <c r="E40" s="6" t="n">
        <f aca="false">C40*D40</f>
        <v>2.45</v>
      </c>
      <c r="F40" s="4" t="n">
        <v>10</v>
      </c>
      <c r="G40" s="4" t="n">
        <v>250</v>
      </c>
      <c r="H40" s="4" t="s">
        <v>69</v>
      </c>
      <c r="I40" s="4" t="n">
        <v>240</v>
      </c>
      <c r="K40" s="6" t="n">
        <f aca="false">D40*I40/G40</f>
        <v>2.352</v>
      </c>
      <c r="L40" s="4" t="s">
        <v>724</v>
      </c>
    </row>
    <row r="41" customFormat="false" ht="15" hidden="false" customHeight="false" outlineLevel="0" collapsed="false">
      <c r="A41" s="19" t="s">
        <v>221</v>
      </c>
      <c r="B41" s="10" t="s">
        <v>760</v>
      </c>
      <c r="C41" s="4" t="n">
        <v>1</v>
      </c>
      <c r="D41" s="6" t="n">
        <v>1.79</v>
      </c>
      <c r="E41" s="6" t="n">
        <f aca="false">C41*D41</f>
        <v>1.79</v>
      </c>
      <c r="F41" s="4" t="n">
        <v>16</v>
      </c>
      <c r="G41" s="4" t="n">
        <v>180</v>
      </c>
      <c r="H41" s="4" t="s">
        <v>69</v>
      </c>
      <c r="I41" s="4" t="n">
        <v>164</v>
      </c>
      <c r="K41" s="6" t="n">
        <f aca="false">D41*I41/G41</f>
        <v>1.63088888888889</v>
      </c>
      <c r="L41" s="4" t="s">
        <v>762</v>
      </c>
    </row>
    <row r="42" customFormat="false" ht="15" hidden="false" customHeight="false" outlineLevel="0" collapsed="false">
      <c r="A42" s="19" t="s">
        <v>90</v>
      </c>
      <c r="B42" s="10" t="s">
        <v>760</v>
      </c>
      <c r="C42" s="4" t="n">
        <v>1</v>
      </c>
      <c r="D42" s="6" t="n">
        <v>2.15</v>
      </c>
      <c r="E42" s="6" t="n">
        <f aca="false">C42*D42</f>
        <v>2.15</v>
      </c>
      <c r="F42" s="4" t="n">
        <v>60</v>
      </c>
      <c r="G42" s="4" t="n">
        <v>1000</v>
      </c>
      <c r="H42" s="4" t="s">
        <v>74</v>
      </c>
      <c r="I42" s="4" t="n">
        <v>940</v>
      </c>
      <c r="K42" s="6" t="n">
        <f aca="false">D42*I42/G42</f>
        <v>2.021</v>
      </c>
      <c r="L42" s="4" t="s">
        <v>887</v>
      </c>
    </row>
    <row r="43" customFormat="false" ht="15" hidden="false" customHeight="false" outlineLevel="0" collapsed="false">
      <c r="A43" s="19" t="s">
        <v>526</v>
      </c>
      <c r="B43" s="10" t="s">
        <v>760</v>
      </c>
      <c r="C43" s="4" t="n">
        <v>1</v>
      </c>
      <c r="D43" s="6" t="n">
        <v>2.15</v>
      </c>
      <c r="E43" s="6" t="n">
        <f aca="false">C43*D43</f>
        <v>2.15</v>
      </c>
      <c r="F43" s="4" t="n">
        <v>10</v>
      </c>
      <c r="G43" s="4" t="n">
        <v>250</v>
      </c>
      <c r="H43" s="4" t="s">
        <v>69</v>
      </c>
      <c r="I43" s="4" t="n">
        <v>240</v>
      </c>
      <c r="K43" s="6" t="n">
        <f aca="false">D43*I43/G43</f>
        <v>2.064</v>
      </c>
      <c r="L43" s="4" t="s">
        <v>884</v>
      </c>
    </row>
    <row r="44" customFormat="false" ht="15" hidden="false" customHeight="false" outlineLevel="0" collapsed="false">
      <c r="A44" s="19" t="s">
        <v>505</v>
      </c>
      <c r="B44" s="10" t="s">
        <v>760</v>
      </c>
      <c r="C44" s="4" t="n">
        <v>1</v>
      </c>
      <c r="D44" s="6" t="n">
        <v>1.89</v>
      </c>
      <c r="E44" s="6" t="n">
        <f aca="false">C44*D44</f>
        <v>1.89</v>
      </c>
      <c r="F44" s="4" t="n">
        <v>1</v>
      </c>
      <c r="G44" s="4" t="n">
        <v>12</v>
      </c>
      <c r="H44" s="4" t="s">
        <v>69</v>
      </c>
      <c r="I44" s="4" t="n">
        <v>11</v>
      </c>
      <c r="K44" s="6" t="n">
        <f aca="false">D44*I44/G44</f>
        <v>1.7325</v>
      </c>
      <c r="L44" s="4" t="s">
        <v>884</v>
      </c>
    </row>
    <row r="45" customFormat="false" ht="15" hidden="false" customHeight="false" outlineLevel="0" collapsed="false">
      <c r="A45" s="19" t="s">
        <v>456</v>
      </c>
      <c r="B45" s="10" t="s">
        <v>760</v>
      </c>
      <c r="C45" s="4" t="n">
        <v>1</v>
      </c>
      <c r="D45" s="6" t="n">
        <v>3.99</v>
      </c>
      <c r="E45" s="6" t="n">
        <f aca="false">C45*D45</f>
        <v>3.99</v>
      </c>
      <c r="F45" s="4" t="n">
        <v>14</v>
      </c>
      <c r="G45" s="4" t="n">
        <v>240</v>
      </c>
      <c r="H45" s="4" t="s">
        <v>69</v>
      </c>
      <c r="I45" s="4" t="n">
        <v>226</v>
      </c>
      <c r="K45" s="6" t="n">
        <f aca="false">D45*I45/G45</f>
        <v>3.75725</v>
      </c>
      <c r="L45" s="4" t="s">
        <v>740</v>
      </c>
    </row>
    <row r="46" customFormat="false" ht="15" hidden="false" customHeight="false" outlineLevel="0" collapsed="false">
      <c r="A46" s="19" t="s">
        <v>97</v>
      </c>
      <c r="B46" s="10" t="s">
        <v>760</v>
      </c>
      <c r="C46" s="4" t="n">
        <v>1</v>
      </c>
      <c r="D46" s="6" t="n">
        <v>0.5</v>
      </c>
      <c r="E46" s="6" t="n">
        <f aca="false">C46*D46</f>
        <v>0.5</v>
      </c>
      <c r="F46" s="4" t="n">
        <v>12</v>
      </c>
      <c r="G46" s="4" t="n">
        <v>100</v>
      </c>
      <c r="H46" s="4" t="s">
        <v>69</v>
      </c>
      <c r="I46" s="4" t="n">
        <v>88</v>
      </c>
      <c r="K46" s="6" t="n">
        <f aca="false">D46*I46/G46</f>
        <v>0.44</v>
      </c>
      <c r="L46" s="4" t="s">
        <v>888</v>
      </c>
    </row>
    <row r="47" customFormat="false" ht="15" hidden="false" customHeight="false" outlineLevel="0" collapsed="false">
      <c r="A47" s="9" t="s">
        <v>764</v>
      </c>
      <c r="E47" s="17" t="n">
        <f aca="false">SUM(E40:E46)</f>
        <v>14.92</v>
      </c>
    </row>
    <row r="49" customFormat="false" ht="16.15" hidden="false" customHeight="false" outlineLevel="0" collapsed="false">
      <c r="A49" s="1" t="s">
        <v>765</v>
      </c>
    </row>
    <row r="50" customFormat="false" ht="15" hidden="false" customHeight="false" outlineLevel="0" collapsed="false">
      <c r="A50" s="4" t="s">
        <v>766</v>
      </c>
      <c r="E50" s="6" t="n">
        <f aca="false">E36</f>
        <v>34.13</v>
      </c>
    </row>
    <row r="51" customFormat="false" ht="15" hidden="false" customHeight="false" outlineLevel="0" collapsed="false">
      <c r="A51" s="4" t="s">
        <v>767</v>
      </c>
      <c r="E51" s="6" t="n">
        <f aca="false">E47</f>
        <v>14.92</v>
      </c>
    </row>
    <row r="52" customFormat="false" ht="15" hidden="false" customHeight="false" outlineLevel="0" collapsed="false">
      <c r="A52" s="9" t="s">
        <v>768</v>
      </c>
      <c r="E52" s="17" t="n">
        <f aca="false">E36+E47</f>
        <v>49.05</v>
      </c>
    </row>
    <row r="53" customFormat="false" ht="15" hidden="false" customHeight="false" outlineLevel="0" collapsed="false">
      <c r="A53" s="4" t="s">
        <v>769</v>
      </c>
      <c r="E53" s="6" t="n">
        <v>55</v>
      </c>
    </row>
    <row r="54" customFormat="false" ht="15" hidden="false" customHeight="false" outlineLevel="0" collapsed="false">
      <c r="A54" s="4" t="s">
        <v>770</v>
      </c>
      <c r="E54" s="6" t="n">
        <f aca="false">E53-E52</f>
        <v>5.95</v>
      </c>
    </row>
    <row r="55" customFormat="false" ht="15" hidden="false" customHeight="false" outlineLevel="0" collapsed="false">
      <c r="A55" s="4" t="s">
        <v>771</v>
      </c>
      <c r="E55" s="6" t="n">
        <f aca="false">J33</f>
        <v>2.6259318174488</v>
      </c>
    </row>
    <row r="56" customFormat="false" ht="15" hidden="false" customHeight="false" outlineLevel="0" collapsed="false">
      <c r="A56" s="4" t="s">
        <v>772</v>
      </c>
      <c r="E56" s="20" t="n">
        <f aca="false">J33/E36</f>
        <v>0.0769391097992616</v>
      </c>
    </row>
    <row r="57" customFormat="false" ht="15" hidden="false" customHeight="false" outlineLevel="0" collapsed="false">
      <c r="A57" s="4" t="s">
        <v>773</v>
      </c>
      <c r="E57" s="6" t="n">
        <f aca="false">K33</f>
        <v>5.87237651991614</v>
      </c>
    </row>
    <row r="58" customFormat="false" ht="15" hidden="false" customHeight="false" outlineLevel="0" collapsed="false">
      <c r="A58" s="4" t="s">
        <v>774</v>
      </c>
      <c r="E58" s="6" t="n">
        <f aca="false">(E36+E47)/14</f>
        <v>3.50357142857143</v>
      </c>
    </row>
    <row r="59" customFormat="false" ht="15" hidden="false" customHeight="false" outlineLevel="0" collapsed="false">
      <c r="A59" s="4" t="s">
        <v>775</v>
      </c>
      <c r="E59" s="6" t="n">
        <f aca="false">E36</f>
        <v>34.13</v>
      </c>
    </row>
    <row r="62" customFormat="false" ht="16.15" hidden="false" customHeight="false" outlineLevel="0" collapsed="false">
      <c r="A62" s="1" t="s">
        <v>776</v>
      </c>
    </row>
    <row r="63" customFormat="false" ht="15" hidden="false" customHeight="false" outlineLevel="0" collapsed="false">
      <c r="A63" s="21" t="s">
        <v>889</v>
      </c>
    </row>
    <row r="64" customFormat="false" ht="45" hidden="false" customHeight="true" outlineLevel="0" collapsed="false">
      <c r="A64" s="9" t="s">
        <v>62</v>
      </c>
      <c r="B64" s="5" t="s">
        <v>787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8" hidden="false" customHeight="true" outlineLevel="0" collapsed="false">
      <c r="A65" s="4" t="s">
        <v>779</v>
      </c>
      <c r="B65" s="5" t="s">
        <v>465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30" hidden="false" customHeight="true" outlineLevel="0" collapsed="false">
      <c r="A66" s="4" t="s">
        <v>780</v>
      </c>
      <c r="B66" s="5" t="s">
        <v>466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781</v>
      </c>
      <c r="B67" s="5" t="s">
        <v>467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8" hidden="false" customHeight="true" outlineLevel="0" collapsed="false">
      <c r="A68" s="4" t="s">
        <v>782</v>
      </c>
      <c r="B68" s="5" t="s">
        <v>468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8" hidden="false" customHeight="true" outlineLevel="0" collapsed="false">
      <c r="A69" s="4" t="s">
        <v>783</v>
      </c>
      <c r="B69" s="5" t="s">
        <v>469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30" hidden="false" customHeight="true" outlineLevel="0" collapsed="false">
      <c r="A70" s="4" t="s">
        <v>784</v>
      </c>
      <c r="B70" s="5" t="s">
        <v>470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30" hidden="false" customHeight="true" outlineLevel="0" collapsed="false">
      <c r="A71" s="4" t="s">
        <v>785</v>
      </c>
      <c r="B71" s="5" t="s">
        <v>471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3" customFormat="false" ht="15" hidden="false" customHeight="false" outlineLevel="0" collapsed="false">
      <c r="A73" s="21" t="s">
        <v>890</v>
      </c>
    </row>
    <row r="74" customFormat="false" ht="30" hidden="false" customHeight="true" outlineLevel="0" collapsed="false">
      <c r="A74" s="9" t="s">
        <v>62</v>
      </c>
      <c r="B74" s="5" t="s">
        <v>843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779</v>
      </c>
      <c r="B75" s="5" t="s">
        <v>618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45" hidden="false" customHeight="true" outlineLevel="0" collapsed="false">
      <c r="A76" s="4" t="s">
        <v>780</v>
      </c>
      <c r="B76" s="5" t="s">
        <v>619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781</v>
      </c>
      <c r="B77" s="5" t="s">
        <v>620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782</v>
      </c>
      <c r="B78" s="5" t="s">
        <v>621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783</v>
      </c>
      <c r="B79" s="5" t="s">
        <v>622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784</v>
      </c>
      <c r="B80" s="5" t="s">
        <v>623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30" hidden="false" customHeight="true" outlineLevel="0" collapsed="false">
      <c r="A81" s="4" t="s">
        <v>785</v>
      </c>
      <c r="B81" s="5" t="s">
        <v>624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3" customFormat="false" ht="15" hidden="false" customHeight="false" outlineLevel="0" collapsed="false">
      <c r="A83" s="21" t="s">
        <v>891</v>
      </c>
    </row>
    <row r="84" customFormat="false" ht="30" hidden="false" customHeight="true" outlineLevel="0" collapsed="false">
      <c r="A84" s="9" t="s">
        <v>62</v>
      </c>
      <c r="B84" s="5" t="s">
        <v>791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30" hidden="false" customHeight="true" outlineLevel="0" collapsed="false">
      <c r="A85" s="4" t="s">
        <v>779</v>
      </c>
      <c r="B85" s="5" t="s">
        <v>290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4" t="s">
        <v>780</v>
      </c>
      <c r="B86" s="5" t="s">
        <v>291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781</v>
      </c>
      <c r="B87" s="5" t="s">
        <v>292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782</v>
      </c>
      <c r="B88" s="5" t="s">
        <v>293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783</v>
      </c>
      <c r="B89" s="5" t="s">
        <v>294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4" t="s">
        <v>784</v>
      </c>
      <c r="B90" s="5" t="s">
        <v>295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8" hidden="false" customHeight="true" outlineLevel="0" collapsed="false">
      <c r="A91" s="4" t="s">
        <v>785</v>
      </c>
      <c r="B91" s="5" t="s">
        <v>296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3" customFormat="false" ht="15" hidden="false" customHeight="false" outlineLevel="0" collapsed="false">
      <c r="A93" s="21" t="s">
        <v>892</v>
      </c>
    </row>
    <row r="94" customFormat="false" ht="30" hidden="false" customHeight="true" outlineLevel="0" collapsed="false">
      <c r="A94" s="9" t="s">
        <v>62</v>
      </c>
      <c r="B94" s="5" t="s">
        <v>893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779</v>
      </c>
      <c r="B95" s="5" t="s">
        <v>527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780</v>
      </c>
      <c r="B96" s="5" t="s">
        <v>528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30" hidden="false" customHeight="true" outlineLevel="0" collapsed="false">
      <c r="A97" s="4" t="s">
        <v>781</v>
      </c>
      <c r="B97" s="5" t="s">
        <v>529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782</v>
      </c>
      <c r="B98" s="5" t="s">
        <v>530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30" hidden="false" customHeight="true" outlineLevel="0" collapsed="false">
      <c r="A99" s="4" t="s">
        <v>783</v>
      </c>
      <c r="B99" s="5" t="s">
        <v>531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30" hidden="false" customHeight="true" outlineLevel="0" collapsed="false">
      <c r="A100" s="4" t="s">
        <v>784</v>
      </c>
      <c r="B100" s="5" t="s">
        <v>532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2" customFormat="false" ht="15" hidden="false" customHeight="false" outlineLevel="0" collapsed="false">
      <c r="A102" s="21" t="s">
        <v>792</v>
      </c>
    </row>
    <row r="103" customFormat="false" ht="30" hidden="false" customHeight="true" outlineLevel="0" collapsed="false">
      <c r="A103" s="9" t="s">
        <v>62</v>
      </c>
      <c r="B103" s="5" t="s">
        <v>793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8" hidden="false" customHeight="true" outlineLevel="0" collapsed="false">
      <c r="A104" s="4" t="s">
        <v>779</v>
      </c>
      <c r="B104" s="5" t="s">
        <v>435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780</v>
      </c>
      <c r="B105" s="5" t="s">
        <v>436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781</v>
      </c>
      <c r="B106" s="5" t="s">
        <v>437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8" hidden="false" customHeight="true" outlineLevel="0" collapsed="false">
      <c r="A107" s="4" t="s">
        <v>782</v>
      </c>
      <c r="B107" s="5" t="s">
        <v>438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783</v>
      </c>
      <c r="B108" s="5" t="s">
        <v>439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8" hidden="false" customHeight="true" outlineLevel="0" collapsed="false">
      <c r="A109" s="4" t="s">
        <v>784</v>
      </c>
      <c r="B109" s="5" t="s">
        <v>440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18" hidden="false" customHeight="true" outlineLevel="0" collapsed="false">
      <c r="A110" s="4" t="s">
        <v>785</v>
      </c>
      <c r="B110" s="5" t="s">
        <v>441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</sheetData>
  <mergeCells count="39">
    <mergeCell ref="B64:L64"/>
    <mergeCell ref="B65:L65"/>
    <mergeCell ref="B66:L66"/>
    <mergeCell ref="B67:L67"/>
    <mergeCell ref="B68:L68"/>
    <mergeCell ref="B69:L69"/>
    <mergeCell ref="B70:L70"/>
    <mergeCell ref="B71:L71"/>
    <mergeCell ref="B74:L74"/>
    <mergeCell ref="B75:L75"/>
    <mergeCell ref="B76:L76"/>
    <mergeCell ref="B77:L77"/>
    <mergeCell ref="B78:L78"/>
    <mergeCell ref="B79:L79"/>
    <mergeCell ref="B80:L80"/>
    <mergeCell ref="B81:L81"/>
    <mergeCell ref="B84:L84"/>
    <mergeCell ref="B85:L85"/>
    <mergeCell ref="B86:L86"/>
    <mergeCell ref="B87:L87"/>
    <mergeCell ref="B88:L88"/>
    <mergeCell ref="B89:L89"/>
    <mergeCell ref="B90:L90"/>
    <mergeCell ref="B91:L91"/>
    <mergeCell ref="B94:L94"/>
    <mergeCell ref="B95:L95"/>
    <mergeCell ref="B96:L96"/>
    <mergeCell ref="B97:L97"/>
    <mergeCell ref="B98:L98"/>
    <mergeCell ref="B99:L99"/>
    <mergeCell ref="B100:L100"/>
    <mergeCell ref="B103:L103"/>
    <mergeCell ref="B104:L104"/>
    <mergeCell ref="B105:L105"/>
    <mergeCell ref="B106:L106"/>
    <mergeCell ref="B107:L107"/>
    <mergeCell ref="B108:L108"/>
    <mergeCell ref="B109:L109"/>
    <mergeCell ref="B110:L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894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895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373</v>
      </c>
      <c r="D6" s="4" t="n">
        <f aca="false">ROUND(Nutrition!H204,0)</f>
        <v>888</v>
      </c>
      <c r="E6" s="5" t="s">
        <v>896</v>
      </c>
      <c r="F6" s="5" t="s">
        <v>377</v>
      </c>
      <c r="G6" s="4" t="str">
        <f aca="false">ROUND(Nutrition!I204,0)&amp;" / "&amp;ROUND(Nutrition!J204,0)&amp;" / "&amp;ROUND(Nutrition!K204,0)</f>
        <v>33 / 93 / 41</v>
      </c>
    </row>
    <row r="7" customFormat="false" ht="31.5" hidden="false" customHeight="true" outlineLevel="0" collapsed="false">
      <c r="A7" s="4" t="s">
        <v>686</v>
      </c>
      <c r="B7" s="5" t="s">
        <v>897</v>
      </c>
      <c r="C7" s="16" t="s">
        <v>550</v>
      </c>
      <c r="D7" s="4" t="n">
        <f aca="false">ROUND(Nutrition!H339,0)</f>
        <v>738</v>
      </c>
      <c r="E7" s="5" t="s">
        <v>796</v>
      </c>
      <c r="F7" s="5" t="s">
        <v>552</v>
      </c>
      <c r="G7" s="4" t="str">
        <f aca="false">ROUND(Nutrition!I339,0)&amp;" / "&amp;ROUND(Nutrition!J339,0)&amp;" / "&amp;ROUND(Nutrition!K339,0)</f>
        <v>39 / 103 / 18</v>
      </c>
    </row>
    <row r="8" customFormat="false" ht="31.5" hidden="false" customHeight="true" outlineLevel="0" collapsed="false">
      <c r="A8" s="4" t="s">
        <v>689</v>
      </c>
      <c r="B8" s="5" t="s">
        <v>802</v>
      </c>
      <c r="C8" s="16" t="s">
        <v>187</v>
      </c>
      <c r="D8" s="4" t="n">
        <f aca="false">ROUND(Nutrition!H71,0)</f>
        <v>876</v>
      </c>
      <c r="E8" s="5" t="s">
        <v>691</v>
      </c>
      <c r="F8" s="5"/>
      <c r="G8" s="4" t="str">
        <f aca="false">ROUND(Nutrition!I71,0)&amp;" / "&amp;ROUND(Nutrition!J71,0)&amp;" / "&amp;ROUND(Nutrition!K71,0)</f>
        <v>30 / 100 / 39</v>
      </c>
    </row>
    <row r="9" customFormat="false" ht="31.5" hidden="false" customHeight="true" outlineLevel="0" collapsed="false">
      <c r="A9" s="4" t="s">
        <v>692</v>
      </c>
      <c r="B9" s="5" t="s">
        <v>693</v>
      </c>
      <c r="C9" s="16" t="s">
        <v>396</v>
      </c>
      <c r="D9" s="4" t="n">
        <f aca="false">ROUND(Nutrition!H221,0)</f>
        <v>943</v>
      </c>
      <c r="E9" s="5" t="s">
        <v>898</v>
      </c>
      <c r="F9" s="5"/>
      <c r="G9" s="4" t="str">
        <f aca="false">ROUND(Nutrition!I221,0)&amp;" / "&amp;ROUND(Nutrition!J221,0)&amp;" / "&amp;ROUND(Nutrition!K221,0)</f>
        <v>29 / 96 / 48</v>
      </c>
    </row>
    <row r="10" customFormat="false" ht="31.5" hidden="false" customHeight="true" outlineLevel="0" collapsed="false">
      <c r="A10" s="4" t="s">
        <v>695</v>
      </c>
      <c r="B10" s="5" t="s">
        <v>899</v>
      </c>
      <c r="C10" s="16" t="s">
        <v>533</v>
      </c>
      <c r="D10" s="4" t="n">
        <f aca="false">ROUND(Nutrition!H321,0)</f>
        <v>944</v>
      </c>
      <c r="E10" s="5" t="s">
        <v>900</v>
      </c>
      <c r="F10" s="5"/>
      <c r="G10" s="4" t="str">
        <f aca="false">ROUND(Nutrition!I321,0)&amp;" / "&amp;ROUND(Nutrition!J321,0)&amp;" / "&amp;ROUND(Nutrition!K321,0)</f>
        <v>37 / 101 / 43</v>
      </c>
    </row>
    <row r="11" customFormat="false" ht="39.55" hidden="false" customHeight="false" outlineLevel="0" collapsed="false">
      <c r="A11" s="4" t="s">
        <v>698</v>
      </c>
      <c r="B11" s="5" t="s">
        <v>901</v>
      </c>
      <c r="C11" s="4" t="s">
        <v>902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902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903</v>
      </c>
      <c r="B16" s="4" t="s">
        <v>719</v>
      </c>
      <c r="C16" s="4" t="n">
        <v>1</v>
      </c>
      <c r="D16" s="6" t="n">
        <v>2.59</v>
      </c>
      <c r="E16" s="6" t="n">
        <f aca="false">C16*D16</f>
        <v>2.59</v>
      </c>
      <c r="F16" s="4" t="n">
        <v>150</v>
      </c>
      <c r="G16" s="4" t="n">
        <v>225</v>
      </c>
      <c r="H16" s="4" t="s">
        <v>69</v>
      </c>
      <c r="I16" s="4" t="n">
        <v>75</v>
      </c>
      <c r="J16" s="6" t="n">
        <v>0.259</v>
      </c>
      <c r="K16" s="6" t="n">
        <v>0.604333333333333</v>
      </c>
      <c r="L16" s="4" t="s">
        <v>904</v>
      </c>
    </row>
    <row r="17" customFormat="false" ht="15" hidden="false" customHeight="false" outlineLevel="0" collapsed="false">
      <c r="A17" s="5" t="s">
        <v>905</v>
      </c>
      <c r="B17" s="4" t="s">
        <v>719</v>
      </c>
      <c r="C17" s="4" t="n">
        <v>1</v>
      </c>
      <c r="D17" s="6" t="n">
        <v>2.59</v>
      </c>
      <c r="E17" s="6" t="n">
        <f aca="false">C17*D17</f>
        <v>2.59</v>
      </c>
      <c r="F17" s="4" t="n">
        <v>140</v>
      </c>
      <c r="G17" s="4" t="n">
        <v>140</v>
      </c>
      <c r="H17" s="4" t="s">
        <v>69</v>
      </c>
      <c r="I17" s="4" t="n">
        <v>0</v>
      </c>
      <c r="J17" s="6" t="n">
        <v>0</v>
      </c>
      <c r="K17" s="6" t="n">
        <v>0</v>
      </c>
      <c r="L17" s="4" t="s">
        <v>824</v>
      </c>
    </row>
    <row r="18" customFormat="false" ht="15" hidden="false" customHeight="false" outlineLevel="0" collapsed="false">
      <c r="A18" s="5" t="s">
        <v>721</v>
      </c>
      <c r="B18" s="4" t="s">
        <v>719</v>
      </c>
      <c r="C18" s="4" t="n">
        <v>2</v>
      </c>
      <c r="D18" s="6" t="n">
        <v>2.09</v>
      </c>
      <c r="E18" s="6" t="n">
        <f aca="false">C18*D18</f>
        <v>4.18</v>
      </c>
      <c r="F18" s="4" t="n">
        <v>270</v>
      </c>
      <c r="G18" s="4" t="n">
        <v>400</v>
      </c>
      <c r="H18" s="4" t="s">
        <v>69</v>
      </c>
      <c r="I18" s="4" t="n">
        <v>130</v>
      </c>
      <c r="J18" s="8" t="n">
        <v>0.67925</v>
      </c>
      <c r="K18" s="6" t="n">
        <v>0.67925</v>
      </c>
      <c r="L18" s="4" t="s">
        <v>906</v>
      </c>
    </row>
    <row r="19" customFormat="false" ht="15" hidden="false" customHeight="false" outlineLevel="0" collapsed="false">
      <c r="A19" s="5" t="s">
        <v>725</v>
      </c>
      <c r="B19" s="4" t="s">
        <v>726</v>
      </c>
      <c r="C19" s="4" t="n">
        <v>1</v>
      </c>
      <c r="D19" s="6" t="n">
        <v>0.75</v>
      </c>
      <c r="E19" s="6" t="n">
        <f aca="false">C19*D19</f>
        <v>0.75</v>
      </c>
      <c r="F19" s="4" t="n">
        <v>170</v>
      </c>
      <c r="G19" s="4" t="n">
        <v>200</v>
      </c>
      <c r="H19" s="4" t="s">
        <v>74</v>
      </c>
      <c r="I19" s="4" t="n">
        <v>30</v>
      </c>
      <c r="J19" s="6" t="n">
        <v>0.03375</v>
      </c>
      <c r="K19" s="6" t="n">
        <v>0.07875</v>
      </c>
      <c r="L19" s="4" t="s">
        <v>907</v>
      </c>
    </row>
    <row r="20" customFormat="false" ht="15" hidden="false" customHeight="false" outlineLevel="0" collapsed="false">
      <c r="A20" s="5" t="s">
        <v>908</v>
      </c>
      <c r="B20" s="4" t="s">
        <v>726</v>
      </c>
      <c r="C20" s="4" t="n">
        <v>1</v>
      </c>
      <c r="D20" s="6" t="n">
        <v>1.99</v>
      </c>
      <c r="E20" s="6" t="n">
        <f aca="false">C20*D20</f>
        <v>1.99</v>
      </c>
      <c r="F20" s="4" t="n">
        <v>410</v>
      </c>
      <c r="G20" s="4" t="n">
        <v>600</v>
      </c>
      <c r="H20" s="4" t="s">
        <v>74</v>
      </c>
      <c r="I20" s="4" t="n">
        <v>190</v>
      </c>
      <c r="J20" s="6" t="n">
        <v>0</v>
      </c>
      <c r="K20" s="6" t="n">
        <v>0.630166666666667</v>
      </c>
      <c r="L20" s="4" t="s">
        <v>906</v>
      </c>
    </row>
    <row r="21" customFormat="false" ht="15" hidden="false" customHeight="false" outlineLevel="0" collapsed="false">
      <c r="A21" s="5" t="s">
        <v>909</v>
      </c>
      <c r="B21" s="4" t="s">
        <v>726</v>
      </c>
      <c r="C21" s="4" t="n">
        <v>1</v>
      </c>
      <c r="D21" s="6" t="n">
        <v>1.95</v>
      </c>
      <c r="E21" s="6" t="n">
        <f aca="false">C21*D21</f>
        <v>1.95</v>
      </c>
      <c r="F21" s="4" t="n">
        <v>110</v>
      </c>
      <c r="G21" s="4" t="n">
        <v>120</v>
      </c>
      <c r="H21" s="4" t="s">
        <v>69</v>
      </c>
      <c r="I21" s="4" t="n">
        <v>10</v>
      </c>
      <c r="J21" s="6" t="n">
        <v>0</v>
      </c>
      <c r="K21" s="6" t="n">
        <v>0.1625</v>
      </c>
      <c r="L21" s="4" t="s">
        <v>910</v>
      </c>
    </row>
    <row r="22" customFormat="false" ht="15" hidden="false" customHeight="false" outlineLevel="0" collapsed="false">
      <c r="A22" s="5" t="s">
        <v>730</v>
      </c>
      <c r="B22" s="4" t="s">
        <v>726</v>
      </c>
      <c r="C22" s="4" t="n">
        <v>1</v>
      </c>
      <c r="D22" s="6" t="n">
        <v>1.69</v>
      </c>
      <c r="E22" s="6" t="n">
        <f aca="false">C22*D22</f>
        <v>1.69</v>
      </c>
      <c r="F22" s="4" t="n">
        <v>36</v>
      </c>
      <c r="G22" s="4" t="n">
        <v>330</v>
      </c>
      <c r="H22" s="4" t="s">
        <v>69</v>
      </c>
      <c r="I22" s="4" t="n">
        <v>294</v>
      </c>
      <c r="J22" s="6" t="n">
        <v>0</v>
      </c>
      <c r="K22" s="6" t="n">
        <v>1.50563636363636</v>
      </c>
      <c r="L22" s="4" t="s">
        <v>729</v>
      </c>
    </row>
    <row r="23" customFormat="false" ht="15" hidden="false" customHeight="false" outlineLevel="0" collapsed="false">
      <c r="A23" s="5" t="s">
        <v>911</v>
      </c>
      <c r="B23" s="4" t="s">
        <v>817</v>
      </c>
      <c r="C23" s="4" t="n">
        <v>2</v>
      </c>
      <c r="D23" s="6" t="n">
        <v>2.05</v>
      </c>
      <c r="E23" s="6" t="n">
        <f aca="false">C23*D23</f>
        <v>4.1</v>
      </c>
      <c r="F23" s="4" t="n">
        <v>400</v>
      </c>
      <c r="G23" s="4" t="n">
        <v>500</v>
      </c>
      <c r="H23" s="4" t="s">
        <v>69</v>
      </c>
      <c r="I23" s="4" t="n">
        <v>100</v>
      </c>
      <c r="J23" s="8" t="n">
        <v>0.82</v>
      </c>
      <c r="K23" s="6" t="n">
        <v>0</v>
      </c>
      <c r="L23" s="4" t="s">
        <v>912</v>
      </c>
    </row>
    <row r="24" customFormat="false" ht="15" hidden="false" customHeight="false" outlineLevel="0" collapsed="false">
      <c r="A24" s="5" t="s">
        <v>734</v>
      </c>
      <c r="B24" s="4" t="s">
        <v>732</v>
      </c>
      <c r="C24" s="4" t="n">
        <v>1</v>
      </c>
      <c r="D24" s="6" t="n">
        <v>2.69</v>
      </c>
      <c r="E24" s="6" t="n">
        <f aca="false">C24*D24</f>
        <v>2.69</v>
      </c>
      <c r="F24" s="4" t="n">
        <v>460</v>
      </c>
      <c r="G24" s="4" t="n">
        <v>1000</v>
      </c>
      <c r="H24" s="4" t="s">
        <v>69</v>
      </c>
      <c r="I24" s="4" t="n">
        <v>540</v>
      </c>
      <c r="J24" s="6" t="n">
        <v>0.29052</v>
      </c>
      <c r="K24" s="6" t="n">
        <v>1.16208</v>
      </c>
      <c r="L24" s="4" t="s">
        <v>913</v>
      </c>
    </row>
    <row r="25" customFormat="false" ht="15" hidden="false" customHeight="false" outlineLevel="0" collapsed="false">
      <c r="A25" s="5" t="s">
        <v>822</v>
      </c>
      <c r="B25" s="4" t="s">
        <v>732</v>
      </c>
      <c r="C25" s="4" t="n">
        <v>1</v>
      </c>
      <c r="D25" s="6" t="n">
        <v>0.99</v>
      </c>
      <c r="E25" s="6" t="n">
        <f aca="false">C25*D25</f>
        <v>0.99</v>
      </c>
      <c r="F25" s="4" t="n">
        <v>150</v>
      </c>
      <c r="G25" s="4" t="n">
        <v>250</v>
      </c>
      <c r="H25" s="4" t="s">
        <v>69</v>
      </c>
      <c r="I25" s="4" t="n">
        <v>100</v>
      </c>
      <c r="J25" s="6" t="n">
        <v>0.396</v>
      </c>
      <c r="K25" s="6" t="n">
        <v>0</v>
      </c>
      <c r="L25" s="4" t="s">
        <v>904</v>
      </c>
    </row>
    <row r="26" customFormat="false" ht="15" hidden="false" customHeight="false" outlineLevel="0" collapsed="false">
      <c r="A26" s="5" t="s">
        <v>914</v>
      </c>
      <c r="B26" s="4" t="s">
        <v>742</v>
      </c>
      <c r="C26" s="4" t="n">
        <v>2</v>
      </c>
      <c r="D26" s="6" t="n">
        <v>1.29</v>
      </c>
      <c r="E26" s="6" t="n">
        <f aca="false">C26*D26</f>
        <v>2.58</v>
      </c>
      <c r="F26" s="4" t="n">
        <v>400</v>
      </c>
      <c r="G26" s="4" t="n">
        <v>460</v>
      </c>
      <c r="H26" s="4" t="s">
        <v>69</v>
      </c>
      <c r="I26" s="4" t="n">
        <v>60</v>
      </c>
      <c r="J26" s="6" t="n">
        <v>0.336521739130435</v>
      </c>
      <c r="K26" s="6" t="n">
        <v>0</v>
      </c>
      <c r="L26" s="4" t="s">
        <v>915</v>
      </c>
    </row>
    <row r="27" customFormat="false" ht="15" hidden="false" customHeight="false" outlineLevel="0" collapsed="false">
      <c r="A27" s="5" t="s">
        <v>823</v>
      </c>
      <c r="B27" s="4" t="s">
        <v>742</v>
      </c>
      <c r="C27" s="4" t="n">
        <v>1</v>
      </c>
      <c r="D27" s="6" t="n">
        <v>0.85</v>
      </c>
      <c r="E27" s="6" t="n">
        <f aca="false">C27*D27</f>
        <v>0.85</v>
      </c>
      <c r="F27" s="4" t="n">
        <v>250</v>
      </c>
      <c r="G27" s="4" t="n">
        <v>500</v>
      </c>
      <c r="H27" s="4" t="s">
        <v>69</v>
      </c>
      <c r="I27" s="4" t="n">
        <v>250</v>
      </c>
      <c r="J27" s="6" t="n">
        <v>0</v>
      </c>
      <c r="K27" s="6" t="n">
        <v>0.425</v>
      </c>
      <c r="L27" s="4" t="s">
        <v>824</v>
      </c>
    </row>
    <row r="28" customFormat="false" ht="15" hidden="false" customHeight="false" outlineLevel="0" collapsed="false">
      <c r="A28" s="5" t="s">
        <v>827</v>
      </c>
      <c r="B28" s="4" t="s">
        <v>742</v>
      </c>
      <c r="C28" s="4" t="n">
        <v>1</v>
      </c>
      <c r="D28" s="6" t="n">
        <v>1.39</v>
      </c>
      <c r="E28" s="6" t="n">
        <f aca="false">C28*D28</f>
        <v>1.39</v>
      </c>
      <c r="F28" s="4" t="n">
        <v>100</v>
      </c>
      <c r="G28" s="4" t="n">
        <v>380</v>
      </c>
      <c r="H28" s="4" t="s">
        <v>69</v>
      </c>
      <c r="I28" s="4" t="n">
        <v>280</v>
      </c>
      <c r="J28" s="6" t="n">
        <v>0.307263157894737</v>
      </c>
      <c r="K28" s="6" t="n">
        <v>0.716947368421053</v>
      </c>
      <c r="L28" s="4" t="s">
        <v>824</v>
      </c>
    </row>
    <row r="29" customFormat="false" ht="15" hidden="false" customHeight="false" outlineLevel="0" collapsed="false">
      <c r="A29" s="5" t="s">
        <v>916</v>
      </c>
      <c r="B29" s="4" t="s">
        <v>742</v>
      </c>
      <c r="C29" s="4" t="n">
        <v>1</v>
      </c>
      <c r="D29" s="6" t="n">
        <v>1.55</v>
      </c>
      <c r="E29" s="6" t="n">
        <f aca="false">C29*D29</f>
        <v>1.55</v>
      </c>
      <c r="F29" s="4" t="n">
        <v>220</v>
      </c>
      <c r="G29" s="4" t="n">
        <v>500</v>
      </c>
      <c r="H29" s="4" t="s">
        <v>69</v>
      </c>
      <c r="I29" s="4" t="n">
        <v>280</v>
      </c>
      <c r="J29" s="6" t="n">
        <v>0</v>
      </c>
      <c r="K29" s="6" t="n">
        <v>0.868</v>
      </c>
      <c r="L29" s="4" t="s">
        <v>917</v>
      </c>
    </row>
    <row r="30" customFormat="false" ht="15" hidden="false" customHeight="false" outlineLevel="0" collapsed="false">
      <c r="A30" s="5" t="s">
        <v>746</v>
      </c>
      <c r="B30" s="4" t="s">
        <v>742</v>
      </c>
      <c r="C30" s="4" t="n">
        <v>1</v>
      </c>
      <c r="D30" s="6" t="n">
        <v>0.75</v>
      </c>
      <c r="E30" s="6" t="n">
        <f aca="false">C30*D30</f>
        <v>0.75</v>
      </c>
      <c r="F30" s="4" t="n">
        <v>500</v>
      </c>
      <c r="G30" s="4" t="n">
        <v>500</v>
      </c>
      <c r="H30" s="4" t="s">
        <v>69</v>
      </c>
      <c r="I30" s="4" t="n">
        <v>0</v>
      </c>
      <c r="J30" s="6" t="n">
        <v>0</v>
      </c>
      <c r="K30" s="6" t="n">
        <v>0</v>
      </c>
      <c r="L30" s="4" t="s">
        <v>918</v>
      </c>
    </row>
    <row r="31" customFormat="false" ht="15" hidden="false" customHeight="false" outlineLevel="0" collapsed="false">
      <c r="A31" s="9" t="s">
        <v>748</v>
      </c>
      <c r="E31" s="17" t="n">
        <f aca="false">SUM(E16:E30)</f>
        <v>30.64</v>
      </c>
      <c r="J31" s="17" t="n">
        <f aca="false">SUM(J16:J30)</f>
        <v>3.12230489702517</v>
      </c>
      <c r="K31" s="17" t="n">
        <f aca="false">SUM(K16:K30)</f>
        <v>6.83266373205742</v>
      </c>
    </row>
    <row r="32" customFormat="false" ht="15" hidden="false" customHeight="false" outlineLevel="0" collapsed="false">
      <c r="A32" s="18" t="s">
        <v>35</v>
      </c>
      <c r="B32" s="18" t="s">
        <v>749</v>
      </c>
      <c r="C32" s="4" t="n">
        <v>1</v>
      </c>
      <c r="D32" s="6" t="n">
        <v>4.65</v>
      </c>
      <c r="E32" s="6" t="n">
        <f aca="false">C32*D32</f>
        <v>4.65</v>
      </c>
      <c r="L32" s="4" t="s">
        <v>750</v>
      </c>
    </row>
    <row r="33" customFormat="false" ht="15" hidden="false" customHeight="false" outlineLevel="0" collapsed="false">
      <c r="A33" s="18" t="s">
        <v>36</v>
      </c>
      <c r="B33" s="18" t="s">
        <v>749</v>
      </c>
      <c r="C33" s="4" t="n">
        <v>1</v>
      </c>
      <c r="D33" s="6" t="n">
        <v>2.55</v>
      </c>
      <c r="E33" s="6" t="n">
        <f aca="false">C33*D33</f>
        <v>2.55</v>
      </c>
      <c r="L33" s="4" t="s">
        <v>751</v>
      </c>
    </row>
    <row r="34" customFormat="false" ht="15" hidden="false" customHeight="false" outlineLevel="0" collapsed="false">
      <c r="A34" s="9" t="s">
        <v>752</v>
      </c>
      <c r="E34" s="17" t="n">
        <f aca="false">E31+E32+E33</f>
        <v>37.84</v>
      </c>
    </row>
    <row r="36" customFormat="false" ht="16.15" hidden="false" customHeight="false" outlineLevel="0" collapsed="false">
      <c r="A36" s="1" t="s">
        <v>753</v>
      </c>
    </row>
    <row r="37" customFormat="false" ht="26.85" hidden="false" customHeight="false" outlineLevel="0" collapsed="false">
      <c r="A37" s="3" t="s">
        <v>754</v>
      </c>
      <c r="B37" s="3" t="s">
        <v>708</v>
      </c>
      <c r="C37" s="3" t="s">
        <v>63</v>
      </c>
      <c r="D37" s="3" t="s">
        <v>755</v>
      </c>
      <c r="E37" s="3" t="s">
        <v>711</v>
      </c>
      <c r="F37" s="3" t="s">
        <v>756</v>
      </c>
      <c r="G37" s="3" t="s">
        <v>757</v>
      </c>
      <c r="H37" s="3" t="s">
        <v>64</v>
      </c>
      <c r="I37" s="3" t="s">
        <v>758</v>
      </c>
      <c r="J37" s="3"/>
      <c r="K37" s="3" t="s">
        <v>759</v>
      </c>
      <c r="L37" s="3" t="s">
        <v>717</v>
      </c>
    </row>
    <row r="38" customFormat="false" ht="15" hidden="false" customHeight="false" outlineLevel="0" collapsed="false">
      <c r="A38" s="19" t="s">
        <v>214</v>
      </c>
      <c r="B38" s="10" t="s">
        <v>760</v>
      </c>
      <c r="C38" s="4" t="n">
        <v>1</v>
      </c>
      <c r="D38" s="6" t="n">
        <v>1.29</v>
      </c>
      <c r="E38" s="6" t="n">
        <f aca="false">C38*D38</f>
        <v>1.29</v>
      </c>
      <c r="F38" s="4" t="n">
        <v>18</v>
      </c>
      <c r="G38" s="4" t="n">
        <v>55</v>
      </c>
      <c r="H38" s="4" t="s">
        <v>69</v>
      </c>
      <c r="I38" s="4" t="n">
        <v>37</v>
      </c>
      <c r="K38" s="6" t="n">
        <f aca="false">D38*I38/G38</f>
        <v>0.867818181818182</v>
      </c>
      <c r="L38" s="4" t="s">
        <v>919</v>
      </c>
    </row>
    <row r="39" customFormat="false" ht="15" hidden="false" customHeight="false" outlineLevel="0" collapsed="false">
      <c r="A39" s="19" t="s">
        <v>335</v>
      </c>
      <c r="B39" s="10" t="s">
        <v>760</v>
      </c>
      <c r="C39" s="4" t="n">
        <v>1</v>
      </c>
      <c r="D39" s="6" t="n">
        <v>1.8</v>
      </c>
      <c r="E39" s="6" t="n">
        <f aca="false">C39*D39</f>
        <v>1.8</v>
      </c>
      <c r="F39" s="4" t="n">
        <v>6</v>
      </c>
      <c r="G39" s="4" t="n">
        <v>12</v>
      </c>
      <c r="H39" s="4" t="s">
        <v>69</v>
      </c>
      <c r="I39" s="4" t="n">
        <v>6</v>
      </c>
      <c r="K39" s="6" t="n">
        <f aca="false">D39*I39/G39</f>
        <v>0.9</v>
      </c>
      <c r="L39" s="4" t="s">
        <v>904</v>
      </c>
    </row>
    <row r="40" customFormat="false" ht="15" hidden="false" customHeight="false" outlineLevel="0" collapsed="false">
      <c r="A40" s="19" t="s">
        <v>308</v>
      </c>
      <c r="B40" s="10" t="s">
        <v>760</v>
      </c>
      <c r="C40" s="4" t="n">
        <v>1</v>
      </c>
      <c r="D40" s="6" t="n">
        <v>2.45</v>
      </c>
      <c r="E40" s="6" t="n">
        <f aca="false">C40*D40</f>
        <v>2.45</v>
      </c>
      <c r="F40" s="4" t="n">
        <v>10</v>
      </c>
      <c r="G40" s="4" t="n">
        <v>250</v>
      </c>
      <c r="H40" s="4" t="s">
        <v>69</v>
      </c>
      <c r="I40" s="4" t="n">
        <v>240</v>
      </c>
      <c r="K40" s="6" t="n">
        <f aca="false">D40*I40/G40</f>
        <v>2.352</v>
      </c>
      <c r="L40" s="4" t="s">
        <v>912</v>
      </c>
    </row>
    <row r="41" customFormat="false" ht="15" hidden="false" customHeight="false" outlineLevel="0" collapsed="false">
      <c r="A41" s="19" t="s">
        <v>221</v>
      </c>
      <c r="B41" s="10" t="s">
        <v>760</v>
      </c>
      <c r="C41" s="4" t="n">
        <v>1</v>
      </c>
      <c r="D41" s="6" t="n">
        <v>1.79</v>
      </c>
      <c r="E41" s="6" t="n">
        <f aca="false">C41*D41</f>
        <v>1.79</v>
      </c>
      <c r="F41" s="4" t="n">
        <v>20</v>
      </c>
      <c r="G41" s="4" t="n">
        <v>180</v>
      </c>
      <c r="H41" s="4" t="s">
        <v>69</v>
      </c>
      <c r="I41" s="4" t="n">
        <v>160</v>
      </c>
      <c r="K41" s="6" t="n">
        <f aca="false">D41*I41/G41</f>
        <v>1.59111111111111</v>
      </c>
      <c r="L41" s="4" t="s">
        <v>920</v>
      </c>
    </row>
    <row r="42" customFormat="false" ht="15" hidden="false" customHeight="false" outlineLevel="0" collapsed="false">
      <c r="A42" s="19" t="s">
        <v>87</v>
      </c>
      <c r="B42" s="10" t="s">
        <v>760</v>
      </c>
      <c r="C42" s="4" t="n">
        <v>1</v>
      </c>
      <c r="D42" s="6" t="n">
        <v>0.95</v>
      </c>
      <c r="E42" s="6" t="n">
        <f aca="false">C42*D42</f>
        <v>0.95</v>
      </c>
      <c r="F42" s="4" t="n">
        <v>4</v>
      </c>
      <c r="G42" s="4" t="n">
        <v>1000</v>
      </c>
      <c r="H42" s="4" t="s">
        <v>69</v>
      </c>
      <c r="I42" s="4" t="n">
        <v>996</v>
      </c>
      <c r="K42" s="6" t="n">
        <f aca="false">D42*I42/G42</f>
        <v>0.9462</v>
      </c>
      <c r="L42" s="4" t="s">
        <v>912</v>
      </c>
    </row>
    <row r="43" customFormat="false" ht="15" hidden="false" customHeight="false" outlineLevel="0" collapsed="false">
      <c r="A43" s="19" t="s">
        <v>90</v>
      </c>
      <c r="B43" s="10" t="s">
        <v>760</v>
      </c>
      <c r="C43" s="4" t="n">
        <v>1</v>
      </c>
      <c r="D43" s="6" t="n">
        <v>2.15</v>
      </c>
      <c r="E43" s="6" t="n">
        <f aca="false">C43*D43</f>
        <v>2.15</v>
      </c>
      <c r="F43" s="4" t="n">
        <v>56</v>
      </c>
      <c r="G43" s="4" t="n">
        <v>1000</v>
      </c>
      <c r="H43" s="4" t="s">
        <v>74</v>
      </c>
      <c r="I43" s="4" t="n">
        <v>944</v>
      </c>
      <c r="K43" s="6" t="n">
        <f aca="false">D43*I43/G43</f>
        <v>2.0296</v>
      </c>
      <c r="L43" s="4" t="s">
        <v>910</v>
      </c>
    </row>
    <row r="44" customFormat="false" ht="15" hidden="false" customHeight="false" outlineLevel="0" collapsed="false">
      <c r="A44" s="19" t="s">
        <v>304</v>
      </c>
      <c r="B44" s="10" t="s">
        <v>760</v>
      </c>
      <c r="C44" s="4" t="n">
        <v>1</v>
      </c>
      <c r="D44" s="6" t="n">
        <v>1.85</v>
      </c>
      <c r="E44" s="6" t="n">
        <f aca="false">C44*D44</f>
        <v>1.85</v>
      </c>
      <c r="F44" s="4" t="n">
        <v>6</v>
      </c>
      <c r="G44" s="4" t="n">
        <v>430</v>
      </c>
      <c r="H44" s="4" t="s">
        <v>69</v>
      </c>
      <c r="I44" s="4" t="n">
        <v>424</v>
      </c>
      <c r="K44" s="6" t="n">
        <f aca="false">D44*I44/G44</f>
        <v>1.82418604651163</v>
      </c>
      <c r="L44" s="4" t="s">
        <v>912</v>
      </c>
    </row>
    <row r="45" customFormat="false" ht="15" hidden="false" customHeight="false" outlineLevel="0" collapsed="false">
      <c r="A45" s="19" t="s">
        <v>97</v>
      </c>
      <c r="B45" s="10" t="s">
        <v>760</v>
      </c>
      <c r="C45" s="4" t="n">
        <v>1</v>
      </c>
      <c r="D45" s="6" t="n">
        <v>0.5</v>
      </c>
      <c r="E45" s="6" t="n">
        <f aca="false">C45*D45</f>
        <v>0.5</v>
      </c>
      <c r="F45" s="4" t="n">
        <v>12</v>
      </c>
      <c r="G45" s="4" t="n">
        <v>100</v>
      </c>
      <c r="H45" s="4" t="s">
        <v>69</v>
      </c>
      <c r="I45" s="4" t="n">
        <v>88</v>
      </c>
      <c r="K45" s="6" t="n">
        <f aca="false">D45*I45/G45</f>
        <v>0.44</v>
      </c>
      <c r="L45" s="4" t="s">
        <v>913</v>
      </c>
    </row>
    <row r="46" customFormat="false" ht="15" hidden="false" customHeight="false" outlineLevel="0" collapsed="false">
      <c r="A46" s="9" t="s">
        <v>764</v>
      </c>
      <c r="E46" s="17" t="n">
        <f aca="false">SUM(E38:E45)</f>
        <v>12.78</v>
      </c>
    </row>
    <row r="48" customFormat="false" ht="16.15" hidden="false" customHeight="false" outlineLevel="0" collapsed="false">
      <c r="A48" s="1" t="s">
        <v>765</v>
      </c>
    </row>
    <row r="49" customFormat="false" ht="15" hidden="false" customHeight="false" outlineLevel="0" collapsed="false">
      <c r="A49" s="4" t="s">
        <v>766</v>
      </c>
      <c r="E49" s="6" t="n">
        <f aca="false">E34</f>
        <v>37.84</v>
      </c>
    </row>
    <row r="50" customFormat="false" ht="15" hidden="false" customHeight="false" outlineLevel="0" collapsed="false">
      <c r="A50" s="4" t="s">
        <v>767</v>
      </c>
      <c r="E50" s="6" t="n">
        <f aca="false">E46</f>
        <v>12.78</v>
      </c>
    </row>
    <row r="51" customFormat="false" ht="15" hidden="false" customHeight="false" outlineLevel="0" collapsed="false">
      <c r="A51" s="9" t="s">
        <v>768</v>
      </c>
      <c r="E51" s="17" t="n">
        <f aca="false">E34+E46</f>
        <v>50.62</v>
      </c>
    </row>
    <row r="52" customFormat="false" ht="15" hidden="false" customHeight="false" outlineLevel="0" collapsed="false">
      <c r="A52" s="4" t="s">
        <v>769</v>
      </c>
      <c r="E52" s="6" t="n">
        <v>55</v>
      </c>
    </row>
    <row r="53" customFormat="false" ht="15" hidden="false" customHeight="false" outlineLevel="0" collapsed="false">
      <c r="A53" s="4" t="s">
        <v>770</v>
      </c>
      <c r="E53" s="6" t="n">
        <f aca="false">E52-E51</f>
        <v>4.38</v>
      </c>
    </row>
    <row r="54" customFormat="false" ht="15" hidden="false" customHeight="false" outlineLevel="0" collapsed="false">
      <c r="A54" s="4" t="s">
        <v>771</v>
      </c>
      <c r="E54" s="6" t="n">
        <f aca="false">J31</f>
        <v>3.12230489702517</v>
      </c>
    </row>
    <row r="55" customFormat="false" ht="15" hidden="false" customHeight="false" outlineLevel="0" collapsed="false">
      <c r="A55" s="4" t="s">
        <v>772</v>
      </c>
      <c r="E55" s="20" t="n">
        <f aca="false">J31/E34</f>
        <v>0.0825133429446399</v>
      </c>
    </row>
    <row r="56" customFormat="false" ht="15" hidden="false" customHeight="false" outlineLevel="0" collapsed="false">
      <c r="A56" s="4" t="s">
        <v>773</v>
      </c>
      <c r="E56" s="6" t="n">
        <f aca="false">K31</f>
        <v>6.83266373205742</v>
      </c>
    </row>
    <row r="57" customFormat="false" ht="15" hidden="false" customHeight="false" outlineLevel="0" collapsed="false">
      <c r="A57" s="4" t="s">
        <v>774</v>
      </c>
      <c r="E57" s="6" t="n">
        <f aca="false">(E34+E46)/14</f>
        <v>3.61571428571429</v>
      </c>
    </row>
    <row r="58" customFormat="false" ht="15" hidden="false" customHeight="false" outlineLevel="0" collapsed="false">
      <c r="A58" s="4" t="s">
        <v>775</v>
      </c>
      <c r="E58" s="6" t="n">
        <f aca="false">E34</f>
        <v>37.84</v>
      </c>
    </row>
    <row r="61" customFormat="false" ht="16.15" hidden="false" customHeight="false" outlineLevel="0" collapsed="false">
      <c r="A61" s="1" t="s">
        <v>776</v>
      </c>
    </row>
    <row r="62" customFormat="false" ht="15" hidden="false" customHeight="false" outlineLevel="0" collapsed="false">
      <c r="A62" s="21" t="s">
        <v>921</v>
      </c>
    </row>
    <row r="63" customFormat="false" ht="45" hidden="false" customHeight="true" outlineLevel="0" collapsed="false">
      <c r="A63" s="9" t="s">
        <v>62</v>
      </c>
      <c r="B63" s="5" t="s">
        <v>922</v>
      </c>
      <c r="C63" s="5"/>
      <c r="D63" s="5"/>
      <c r="E63" s="5"/>
      <c r="F63" s="5"/>
      <c r="G63" s="5"/>
      <c r="H63" s="5"/>
      <c r="I63" s="5"/>
      <c r="J63" s="5"/>
      <c r="K63" s="5"/>
      <c r="L63" s="5"/>
    </row>
    <row r="64" customFormat="false" ht="30" hidden="false" customHeight="true" outlineLevel="0" collapsed="false">
      <c r="A64" s="4" t="s">
        <v>779</v>
      </c>
      <c r="B64" s="5" t="s">
        <v>388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30" hidden="false" customHeight="true" outlineLevel="0" collapsed="false">
      <c r="A65" s="4" t="s">
        <v>780</v>
      </c>
      <c r="B65" s="5" t="s">
        <v>389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8" hidden="false" customHeight="true" outlineLevel="0" collapsed="false">
      <c r="A66" s="4" t="s">
        <v>781</v>
      </c>
      <c r="B66" s="5" t="s">
        <v>390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782</v>
      </c>
      <c r="B67" s="5" t="s">
        <v>391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30" hidden="false" customHeight="true" outlineLevel="0" collapsed="false">
      <c r="A68" s="4" t="s">
        <v>783</v>
      </c>
      <c r="B68" s="5" t="s">
        <v>392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8" hidden="false" customHeight="true" outlineLevel="0" collapsed="false">
      <c r="A69" s="4" t="s">
        <v>784</v>
      </c>
      <c r="B69" s="5" t="s">
        <v>393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8" hidden="false" customHeight="true" outlineLevel="0" collapsed="false">
      <c r="A70" s="4" t="s">
        <v>785</v>
      </c>
      <c r="B70" s="5" t="s">
        <v>394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8" hidden="false" customHeight="true" outlineLevel="0" collapsed="false">
      <c r="A71" s="4" t="s">
        <v>839</v>
      </c>
      <c r="B71" s="5" t="s">
        <v>395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3" customFormat="false" ht="15" hidden="false" customHeight="false" outlineLevel="0" collapsed="false">
      <c r="A73" s="21" t="s">
        <v>923</v>
      </c>
    </row>
    <row r="74" customFormat="false" ht="30" hidden="false" customHeight="true" outlineLevel="0" collapsed="false">
      <c r="A74" s="9" t="s">
        <v>62</v>
      </c>
      <c r="B74" s="5" t="s">
        <v>841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779</v>
      </c>
      <c r="B75" s="5" t="s">
        <v>561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780</v>
      </c>
      <c r="B76" s="5" t="s">
        <v>562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781</v>
      </c>
      <c r="B77" s="5" t="s">
        <v>563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30" hidden="false" customHeight="true" outlineLevel="0" collapsed="false">
      <c r="A78" s="4" t="s">
        <v>782</v>
      </c>
      <c r="B78" s="5" t="s">
        <v>564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783</v>
      </c>
      <c r="B79" s="5" t="s">
        <v>565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784</v>
      </c>
      <c r="B80" s="5" t="s">
        <v>566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18" hidden="false" customHeight="true" outlineLevel="0" collapsed="false">
      <c r="A81" s="4" t="s">
        <v>785</v>
      </c>
      <c r="B81" s="5" t="s">
        <v>567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3" customFormat="false" ht="15" hidden="false" customHeight="false" outlineLevel="0" collapsed="false">
      <c r="A83" s="21" t="s">
        <v>788</v>
      </c>
    </row>
    <row r="84" customFormat="false" ht="30" hidden="false" customHeight="true" outlineLevel="0" collapsed="false">
      <c r="A84" s="9" t="s">
        <v>62</v>
      </c>
      <c r="B84" s="5" t="s">
        <v>789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779</v>
      </c>
      <c r="B85" s="5" t="s">
        <v>199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30" hidden="false" customHeight="true" outlineLevel="0" collapsed="false">
      <c r="A86" s="4" t="s">
        <v>780</v>
      </c>
      <c r="B86" s="5" t="s">
        <v>200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781</v>
      </c>
      <c r="B87" s="5" t="s">
        <v>201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782</v>
      </c>
      <c r="B88" s="5" t="s">
        <v>202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30" hidden="false" customHeight="true" outlineLevel="0" collapsed="false">
      <c r="A89" s="4" t="s">
        <v>783</v>
      </c>
      <c r="B89" s="5" t="s">
        <v>203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4" t="s">
        <v>784</v>
      </c>
      <c r="B90" s="5" t="s">
        <v>204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customFormat="false" ht="15" hidden="false" customHeight="false" outlineLevel="0" collapsed="false">
      <c r="A92" s="21" t="s">
        <v>924</v>
      </c>
    </row>
    <row r="93" customFormat="false" ht="30" hidden="false" customHeight="true" outlineLevel="0" collapsed="false">
      <c r="A93" s="9" t="s">
        <v>62</v>
      </c>
      <c r="B93" s="5" t="s">
        <v>925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4" t="s">
        <v>779</v>
      </c>
      <c r="B94" s="5" t="s">
        <v>411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780</v>
      </c>
      <c r="B95" s="5" t="s">
        <v>412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30" hidden="false" customHeight="true" outlineLevel="0" collapsed="false">
      <c r="A96" s="4" t="s">
        <v>781</v>
      </c>
      <c r="B96" s="5" t="s">
        <v>413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30" hidden="false" customHeight="true" outlineLevel="0" collapsed="false">
      <c r="A97" s="4" t="s">
        <v>782</v>
      </c>
      <c r="B97" s="5" t="s">
        <v>414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30" hidden="false" customHeight="true" outlineLevel="0" collapsed="false">
      <c r="A98" s="4" t="s">
        <v>783</v>
      </c>
      <c r="B98" s="5" t="s">
        <v>415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784</v>
      </c>
      <c r="B99" s="5" t="s">
        <v>416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8" hidden="false" customHeight="true" outlineLevel="0" collapsed="false">
      <c r="A100" s="4" t="s">
        <v>785</v>
      </c>
      <c r="B100" s="5" t="s">
        <v>417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18" hidden="false" customHeight="true" outlineLevel="0" collapsed="false">
      <c r="A101" s="4" t="s">
        <v>839</v>
      </c>
      <c r="B101" s="5" t="s">
        <v>418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3" customFormat="false" ht="15" hidden="false" customHeight="false" outlineLevel="0" collapsed="false">
      <c r="A103" s="21" t="s">
        <v>926</v>
      </c>
    </row>
    <row r="104" customFormat="false" ht="30" hidden="false" customHeight="true" outlineLevel="0" collapsed="false">
      <c r="A104" s="9" t="s">
        <v>62</v>
      </c>
      <c r="B104" s="5" t="s">
        <v>927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779</v>
      </c>
      <c r="B105" s="5" t="s">
        <v>545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30" hidden="false" customHeight="true" outlineLevel="0" collapsed="false">
      <c r="A106" s="4" t="s">
        <v>780</v>
      </c>
      <c r="B106" s="5" t="s">
        <v>546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30" hidden="false" customHeight="true" outlineLevel="0" collapsed="false">
      <c r="A107" s="4" t="s">
        <v>781</v>
      </c>
      <c r="B107" s="5" t="s">
        <v>547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30" hidden="false" customHeight="true" outlineLevel="0" collapsed="false">
      <c r="A108" s="4" t="s">
        <v>782</v>
      </c>
      <c r="B108" s="5" t="s">
        <v>548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8" hidden="false" customHeight="true" outlineLevel="0" collapsed="false">
      <c r="A109" s="4" t="s">
        <v>783</v>
      </c>
      <c r="B109" s="5" t="s">
        <v>549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mergeCells count="39">
    <mergeCell ref="B63:L63"/>
    <mergeCell ref="B64:L64"/>
    <mergeCell ref="B65:L65"/>
    <mergeCell ref="B66:L66"/>
    <mergeCell ref="B67:L67"/>
    <mergeCell ref="B68:L68"/>
    <mergeCell ref="B69:L69"/>
    <mergeCell ref="B70:L70"/>
    <mergeCell ref="B71:L71"/>
    <mergeCell ref="B74:L74"/>
    <mergeCell ref="B75:L75"/>
    <mergeCell ref="B76:L76"/>
    <mergeCell ref="B77:L77"/>
    <mergeCell ref="B78:L78"/>
    <mergeCell ref="B79:L79"/>
    <mergeCell ref="B80:L80"/>
    <mergeCell ref="B81:L81"/>
    <mergeCell ref="B84:L84"/>
    <mergeCell ref="B85:L85"/>
    <mergeCell ref="B86:L86"/>
    <mergeCell ref="B87:L87"/>
    <mergeCell ref="B88:L88"/>
    <mergeCell ref="B89:L89"/>
    <mergeCell ref="B90:L90"/>
    <mergeCell ref="B93:L93"/>
    <mergeCell ref="B94:L94"/>
    <mergeCell ref="B95:L95"/>
    <mergeCell ref="B96:L96"/>
    <mergeCell ref="B97:L97"/>
    <mergeCell ref="B98:L98"/>
    <mergeCell ref="B99:L99"/>
    <mergeCell ref="B100:L100"/>
    <mergeCell ref="B101:L101"/>
    <mergeCell ref="B104:L104"/>
    <mergeCell ref="B105:L105"/>
    <mergeCell ref="B106:L106"/>
    <mergeCell ref="B107:L107"/>
    <mergeCell ref="B108:L108"/>
    <mergeCell ref="B109:L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928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929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136</v>
      </c>
      <c r="D6" s="4" t="n">
        <f aca="false">ROUND(Nutrition!H41,0)</f>
        <v>766</v>
      </c>
      <c r="E6" s="5" t="s">
        <v>796</v>
      </c>
      <c r="F6" s="5"/>
      <c r="G6" s="4" t="str">
        <f aca="false">ROUND(Nutrition!I41,0)&amp;" / "&amp;ROUND(Nutrition!J41,0)&amp;" / "&amp;ROUND(Nutrition!K41,0)</f>
        <v>44 / 71 / 33</v>
      </c>
    </row>
    <row r="7" customFormat="false" ht="31.5" hidden="false" customHeight="true" outlineLevel="0" collapsed="false">
      <c r="A7" s="4" t="s">
        <v>686</v>
      </c>
      <c r="B7" s="5" t="s">
        <v>797</v>
      </c>
      <c r="C7" s="16" t="s">
        <v>259</v>
      </c>
      <c r="D7" s="4" t="n">
        <f aca="false">ROUND(Nutrition!H119,0)</f>
        <v>941</v>
      </c>
      <c r="E7" s="5" t="s">
        <v>691</v>
      </c>
      <c r="F7" s="5"/>
      <c r="G7" s="4" t="str">
        <f aca="false">ROUND(Nutrition!I119,0)&amp;" / "&amp;ROUND(Nutrition!J119,0)&amp;" / "&amp;ROUND(Nutrition!K119,0)</f>
        <v>51 / 97 / 38</v>
      </c>
    </row>
    <row r="8" customFormat="false" ht="31.5" hidden="false" customHeight="true" outlineLevel="0" collapsed="false">
      <c r="A8" s="4" t="s">
        <v>689</v>
      </c>
      <c r="B8" s="5" t="s">
        <v>930</v>
      </c>
      <c r="C8" s="16" t="s">
        <v>354</v>
      </c>
      <c r="D8" s="4" t="n">
        <f aca="false">ROUND(Nutrition!H186,0)</f>
        <v>908</v>
      </c>
      <c r="E8" s="5" t="s">
        <v>697</v>
      </c>
      <c r="F8" s="5" t="s">
        <v>358</v>
      </c>
      <c r="G8" s="4" t="str">
        <f aca="false">ROUND(Nutrition!I186,0)&amp;" / "&amp;ROUND(Nutrition!J186,0)&amp;" / "&amp;ROUND(Nutrition!K186,0)</f>
        <v>41 / 94 / 40</v>
      </c>
    </row>
    <row r="9" customFormat="false" ht="31.5" hidden="false" customHeight="true" outlineLevel="0" collapsed="false">
      <c r="A9" s="4" t="s">
        <v>692</v>
      </c>
      <c r="B9" s="5" t="s">
        <v>846</v>
      </c>
      <c r="C9" s="16" t="s">
        <v>568</v>
      </c>
      <c r="D9" s="4" t="n">
        <f aca="false">ROUND(Nutrition!H356,0)</f>
        <v>716</v>
      </c>
      <c r="E9" s="5" t="s">
        <v>800</v>
      </c>
      <c r="F9" s="5" t="s">
        <v>571</v>
      </c>
      <c r="G9" s="4" t="str">
        <f aca="false">ROUND(Nutrition!I356,0)&amp;" / "&amp;ROUND(Nutrition!J356,0)&amp;" / "&amp;ROUND(Nutrition!K356,0)</f>
        <v>36 / 45 / 42</v>
      </c>
    </row>
    <row r="10" customFormat="false" ht="31.5" hidden="false" customHeight="true" outlineLevel="0" collapsed="false">
      <c r="A10" s="4" t="s">
        <v>695</v>
      </c>
      <c r="B10" s="5" t="s">
        <v>801</v>
      </c>
      <c r="C10" s="16" t="s">
        <v>53</v>
      </c>
      <c r="D10" s="4" t="n">
        <f aca="false">ROUND(Nutrition!H15,0)</f>
        <v>885</v>
      </c>
      <c r="E10" s="5" t="s">
        <v>849</v>
      </c>
      <c r="F10" s="5"/>
      <c r="G10" s="4" t="str">
        <f aca="false">ROUND(Nutrition!I15,0)&amp;" / "&amp;ROUND(Nutrition!J15,0)&amp;" / "&amp;ROUND(Nutrition!K15,0)</f>
        <v>42 / 75 / 46</v>
      </c>
    </row>
    <row r="11" customFormat="false" ht="39.55" hidden="false" customHeight="false" outlineLevel="0" collapsed="false">
      <c r="A11" s="4" t="s">
        <v>698</v>
      </c>
      <c r="B11" s="5" t="s">
        <v>850</v>
      </c>
      <c r="C11" s="4" t="s">
        <v>931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931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905</v>
      </c>
      <c r="B16" s="4" t="s">
        <v>719</v>
      </c>
      <c r="C16" s="4" t="n">
        <v>1</v>
      </c>
      <c r="D16" s="6" t="n">
        <v>2.59</v>
      </c>
      <c r="E16" s="6" t="n">
        <f aca="false">C16*D16</f>
        <v>2.59</v>
      </c>
      <c r="F16" s="4" t="n">
        <v>140</v>
      </c>
      <c r="G16" s="4" t="n">
        <v>140</v>
      </c>
      <c r="H16" s="4" t="s">
        <v>69</v>
      </c>
      <c r="I16" s="4" t="n">
        <v>0</v>
      </c>
      <c r="J16" s="6" t="n">
        <v>0</v>
      </c>
      <c r="K16" s="6" t="n">
        <v>0</v>
      </c>
      <c r="L16" s="4" t="s">
        <v>932</v>
      </c>
    </row>
    <row r="17" customFormat="false" ht="15" hidden="false" customHeight="false" outlineLevel="0" collapsed="false">
      <c r="A17" s="5" t="s">
        <v>725</v>
      </c>
      <c r="B17" s="4" t="s">
        <v>726</v>
      </c>
      <c r="C17" s="4" t="n">
        <v>1</v>
      </c>
      <c r="D17" s="6" t="n">
        <v>0.75</v>
      </c>
      <c r="E17" s="6" t="n">
        <f aca="false">C17*D17</f>
        <v>0.75</v>
      </c>
      <c r="F17" s="4" t="n">
        <v>150</v>
      </c>
      <c r="G17" s="4" t="n">
        <v>200</v>
      </c>
      <c r="H17" s="4" t="s">
        <v>74</v>
      </c>
      <c r="I17" s="4" t="n">
        <v>50</v>
      </c>
      <c r="J17" s="6" t="n">
        <v>0.05625</v>
      </c>
      <c r="K17" s="6" t="n">
        <v>0.13125</v>
      </c>
      <c r="L17" s="4" t="s">
        <v>933</v>
      </c>
    </row>
    <row r="18" customFormat="false" ht="15" hidden="false" customHeight="false" outlineLevel="0" collapsed="false">
      <c r="A18" s="5" t="s">
        <v>809</v>
      </c>
      <c r="B18" s="4" t="s">
        <v>726</v>
      </c>
      <c r="C18" s="4" t="n">
        <v>1</v>
      </c>
      <c r="D18" s="6" t="n">
        <v>2.09</v>
      </c>
      <c r="E18" s="6" t="n">
        <f aca="false">C18*D18</f>
        <v>2.09</v>
      </c>
      <c r="F18" s="4" t="n">
        <v>180</v>
      </c>
      <c r="G18" s="4" t="n">
        <v>210</v>
      </c>
      <c r="H18" s="4" t="s">
        <v>69</v>
      </c>
      <c r="I18" s="4" t="n">
        <v>30</v>
      </c>
      <c r="J18" s="6" t="n">
        <v>0.0597142857142857</v>
      </c>
      <c r="K18" s="6" t="n">
        <v>0.238857142857143</v>
      </c>
      <c r="L18" s="4" t="s">
        <v>934</v>
      </c>
    </row>
    <row r="19" customFormat="false" ht="15" hidden="false" customHeight="false" outlineLevel="0" collapsed="false">
      <c r="A19" s="5" t="s">
        <v>811</v>
      </c>
      <c r="B19" s="4" t="s">
        <v>726</v>
      </c>
      <c r="C19" s="4" t="n">
        <v>1</v>
      </c>
      <c r="D19" s="6" t="n">
        <v>1.19</v>
      </c>
      <c r="E19" s="6" t="n">
        <f aca="false">C19*D19</f>
        <v>1.19</v>
      </c>
      <c r="F19" s="4" t="n">
        <v>60</v>
      </c>
      <c r="G19" s="4" t="n">
        <v>60</v>
      </c>
      <c r="H19" s="4" t="s">
        <v>69</v>
      </c>
      <c r="I19" s="4" t="n">
        <v>0</v>
      </c>
      <c r="J19" s="6" t="n">
        <v>0</v>
      </c>
      <c r="K19" s="6" t="n">
        <v>0</v>
      </c>
      <c r="L19" s="4" t="s">
        <v>935</v>
      </c>
    </row>
    <row r="20" customFormat="false" ht="15" hidden="false" customHeight="false" outlineLevel="0" collapsed="false">
      <c r="A20" s="5" t="s">
        <v>813</v>
      </c>
      <c r="B20" s="4" t="s">
        <v>726</v>
      </c>
      <c r="C20" s="4" t="n">
        <v>1</v>
      </c>
      <c r="D20" s="6" t="n">
        <v>1.15</v>
      </c>
      <c r="E20" s="6" t="n">
        <f aca="false">C20*D20</f>
        <v>1.15</v>
      </c>
      <c r="F20" s="4" t="n">
        <v>124</v>
      </c>
      <c r="G20" s="4" t="n">
        <v>125</v>
      </c>
      <c r="H20" s="4" t="s">
        <v>69</v>
      </c>
      <c r="I20" s="4" t="n">
        <v>1</v>
      </c>
      <c r="J20" s="6" t="n">
        <v>0.0092</v>
      </c>
      <c r="K20" s="6" t="n">
        <v>0</v>
      </c>
      <c r="L20" s="4" t="s">
        <v>815</v>
      </c>
    </row>
    <row r="21" customFormat="false" ht="15" hidden="false" customHeight="false" outlineLevel="0" collapsed="false">
      <c r="A21" s="5" t="s">
        <v>730</v>
      </c>
      <c r="B21" s="4" t="s">
        <v>726</v>
      </c>
      <c r="C21" s="4" t="n">
        <v>1</v>
      </c>
      <c r="D21" s="6" t="n">
        <v>1.69</v>
      </c>
      <c r="E21" s="6" t="n">
        <f aca="false">C21*D21</f>
        <v>1.69</v>
      </c>
      <c r="F21" s="4" t="n">
        <v>220</v>
      </c>
      <c r="G21" s="4" t="n">
        <v>330</v>
      </c>
      <c r="H21" s="4" t="s">
        <v>69</v>
      </c>
      <c r="I21" s="4" t="n">
        <v>110</v>
      </c>
      <c r="J21" s="6" t="n">
        <v>0</v>
      </c>
      <c r="K21" s="6" t="n">
        <v>0.563333333333333</v>
      </c>
      <c r="L21" s="4" t="s">
        <v>815</v>
      </c>
    </row>
    <row r="22" customFormat="false" ht="15" hidden="false" customHeight="false" outlineLevel="0" collapsed="false">
      <c r="A22" s="5" t="s">
        <v>857</v>
      </c>
      <c r="B22" s="4" t="s">
        <v>817</v>
      </c>
      <c r="C22" s="4" t="n">
        <v>2</v>
      </c>
      <c r="D22" s="6" t="n">
        <v>1.69</v>
      </c>
      <c r="E22" s="6" t="n">
        <f aca="false">C22*D22</f>
        <v>3.38</v>
      </c>
      <c r="F22" s="4" t="n">
        <v>500</v>
      </c>
      <c r="G22" s="4" t="n">
        <v>600</v>
      </c>
      <c r="H22" s="4" t="s">
        <v>69</v>
      </c>
      <c r="I22" s="4" t="n">
        <v>100</v>
      </c>
      <c r="J22" s="8" t="n">
        <v>0.563333333333333</v>
      </c>
      <c r="K22" s="6" t="n">
        <v>0</v>
      </c>
      <c r="L22" s="4" t="s">
        <v>858</v>
      </c>
    </row>
    <row r="23" customFormat="false" ht="15" hidden="false" customHeight="false" outlineLevel="0" collapsed="false">
      <c r="A23" s="5" t="s">
        <v>818</v>
      </c>
      <c r="B23" s="4" t="s">
        <v>732</v>
      </c>
      <c r="C23" s="4" t="n">
        <v>1</v>
      </c>
      <c r="D23" s="6" t="n">
        <v>0.85</v>
      </c>
      <c r="E23" s="6" t="n">
        <f aca="false">C23*D23</f>
        <v>0.85</v>
      </c>
      <c r="F23" s="4" t="n">
        <v>50</v>
      </c>
      <c r="G23" s="4" t="n">
        <v>100</v>
      </c>
      <c r="H23" s="4" t="s">
        <v>69</v>
      </c>
      <c r="I23" s="4" t="n">
        <v>50</v>
      </c>
      <c r="J23" s="6" t="n">
        <v>0.2125</v>
      </c>
      <c r="K23" s="6" t="n">
        <v>0.2125</v>
      </c>
      <c r="L23" s="4" t="s">
        <v>815</v>
      </c>
    </row>
    <row r="24" customFormat="false" ht="15" hidden="false" customHeight="false" outlineLevel="0" collapsed="false">
      <c r="A24" s="5" t="s">
        <v>819</v>
      </c>
      <c r="B24" s="4" t="s">
        <v>732</v>
      </c>
      <c r="C24" s="4" t="n">
        <v>2</v>
      </c>
      <c r="D24" s="6" t="n">
        <v>0.99</v>
      </c>
      <c r="E24" s="6" t="n">
        <f aca="false">C24*D24</f>
        <v>1.98</v>
      </c>
      <c r="F24" s="4" t="n">
        <v>350</v>
      </c>
      <c r="G24" s="4" t="n">
        <v>500</v>
      </c>
      <c r="H24" s="4" t="s">
        <v>69</v>
      </c>
      <c r="I24" s="4" t="n">
        <v>150</v>
      </c>
      <c r="J24" s="8" t="n">
        <v>0.594</v>
      </c>
      <c r="K24" s="6" t="n">
        <v>0</v>
      </c>
      <c r="L24" s="4" t="s">
        <v>815</v>
      </c>
    </row>
    <row r="25" customFormat="false" ht="15" hidden="false" customHeight="false" outlineLevel="0" collapsed="false">
      <c r="A25" s="5" t="s">
        <v>822</v>
      </c>
      <c r="B25" s="4" t="s">
        <v>732</v>
      </c>
      <c r="C25" s="4" t="n">
        <v>2</v>
      </c>
      <c r="D25" s="6" t="n">
        <v>0.99</v>
      </c>
      <c r="E25" s="6" t="n">
        <f aca="false">C25*D25</f>
        <v>1.98</v>
      </c>
      <c r="F25" s="4" t="n">
        <v>370</v>
      </c>
      <c r="G25" s="4" t="n">
        <v>500</v>
      </c>
      <c r="H25" s="4" t="s">
        <v>69</v>
      </c>
      <c r="I25" s="4" t="n">
        <v>130</v>
      </c>
      <c r="J25" s="8" t="n">
        <v>0.5148</v>
      </c>
      <c r="K25" s="6" t="n">
        <v>0</v>
      </c>
      <c r="L25" s="4" t="s">
        <v>936</v>
      </c>
    </row>
    <row r="26" customFormat="false" ht="15" hidden="false" customHeight="false" outlineLevel="0" collapsed="false">
      <c r="A26" s="5" t="s">
        <v>739</v>
      </c>
      <c r="B26" s="4" t="s">
        <v>738</v>
      </c>
      <c r="C26" s="4" t="n">
        <v>2</v>
      </c>
      <c r="D26" s="6" t="n">
        <v>3.89</v>
      </c>
      <c r="E26" s="6" t="n">
        <f aca="false">C26*D26</f>
        <v>7.78</v>
      </c>
      <c r="F26" s="4" t="n">
        <v>460</v>
      </c>
      <c r="G26" s="4" t="n">
        <v>520</v>
      </c>
      <c r="H26" s="4" t="s">
        <v>69</v>
      </c>
      <c r="I26" s="4" t="n">
        <v>60</v>
      </c>
      <c r="J26" s="8" t="n">
        <v>0.897692307692308</v>
      </c>
      <c r="K26" s="6" t="n">
        <v>0</v>
      </c>
      <c r="L26" s="4" t="s">
        <v>937</v>
      </c>
    </row>
    <row r="27" customFormat="false" ht="15" hidden="false" customHeight="false" outlineLevel="0" collapsed="false">
      <c r="A27" s="5" t="s">
        <v>862</v>
      </c>
      <c r="B27" s="4" t="s">
        <v>742</v>
      </c>
      <c r="C27" s="4" t="n">
        <v>1</v>
      </c>
      <c r="D27" s="6" t="n">
        <v>0.95</v>
      </c>
      <c r="E27" s="6" t="n">
        <f aca="false">C27*D27</f>
        <v>0.95</v>
      </c>
      <c r="F27" s="4" t="n">
        <v>200</v>
      </c>
      <c r="G27" s="4" t="n">
        <v>200</v>
      </c>
      <c r="H27" s="4" t="s">
        <v>74</v>
      </c>
      <c r="I27" s="4" t="n">
        <v>0</v>
      </c>
      <c r="J27" s="6" t="n">
        <v>0</v>
      </c>
      <c r="K27" s="6" t="n">
        <v>0</v>
      </c>
      <c r="L27" s="4" t="s">
        <v>861</v>
      </c>
    </row>
    <row r="28" customFormat="false" ht="15" hidden="false" customHeight="false" outlineLevel="0" collapsed="false">
      <c r="A28" s="5" t="s">
        <v>863</v>
      </c>
      <c r="B28" s="4" t="s">
        <v>742</v>
      </c>
      <c r="C28" s="4" t="n">
        <v>1</v>
      </c>
      <c r="D28" s="6" t="n">
        <v>1.39</v>
      </c>
      <c r="E28" s="6" t="n">
        <f aca="false">C28*D28</f>
        <v>1.39</v>
      </c>
      <c r="F28" s="4" t="n">
        <v>40</v>
      </c>
      <c r="G28" s="4" t="n">
        <v>125</v>
      </c>
      <c r="H28" s="4" t="s">
        <v>69</v>
      </c>
      <c r="I28" s="4" t="n">
        <v>85</v>
      </c>
      <c r="J28" s="6" t="n">
        <v>0</v>
      </c>
      <c r="K28" s="6" t="n">
        <v>0.9452</v>
      </c>
      <c r="L28" s="4" t="s">
        <v>861</v>
      </c>
    </row>
    <row r="29" customFormat="false" ht="15" hidden="false" customHeight="false" outlineLevel="0" collapsed="false">
      <c r="A29" s="5" t="s">
        <v>825</v>
      </c>
      <c r="B29" s="4" t="s">
        <v>742</v>
      </c>
      <c r="C29" s="4" t="n">
        <v>1</v>
      </c>
      <c r="D29" s="6" t="n">
        <v>1.29</v>
      </c>
      <c r="E29" s="6" t="n">
        <f aca="false">C29*D29</f>
        <v>1.29</v>
      </c>
      <c r="F29" s="4" t="n">
        <v>480</v>
      </c>
      <c r="G29" s="4" t="n">
        <v>550</v>
      </c>
      <c r="H29" s="4" t="s">
        <v>69</v>
      </c>
      <c r="I29" s="4" t="n">
        <v>70</v>
      </c>
      <c r="J29" s="6" t="n">
        <v>0.114927272727273</v>
      </c>
      <c r="K29" s="6" t="n">
        <v>0.0492545454545455</v>
      </c>
      <c r="L29" s="4" t="s">
        <v>826</v>
      </c>
    </row>
    <row r="30" customFormat="false" ht="15" hidden="false" customHeight="false" outlineLevel="0" collapsed="false">
      <c r="A30" s="5" t="s">
        <v>938</v>
      </c>
      <c r="B30" s="4" t="s">
        <v>742</v>
      </c>
      <c r="C30" s="4" t="n">
        <v>1</v>
      </c>
      <c r="D30" s="6" t="n">
        <v>1.99</v>
      </c>
      <c r="E30" s="6" t="n">
        <f aca="false">C30*D30</f>
        <v>1.99</v>
      </c>
      <c r="F30" s="4" t="n">
        <v>100</v>
      </c>
      <c r="G30" s="4" t="n">
        <v>185</v>
      </c>
      <c r="H30" s="4" t="s">
        <v>69</v>
      </c>
      <c r="I30" s="4" t="n">
        <v>85</v>
      </c>
      <c r="J30" s="6" t="n">
        <v>0.457162162162162</v>
      </c>
      <c r="K30" s="6" t="n">
        <v>0.457162162162162</v>
      </c>
      <c r="L30" s="4" t="s">
        <v>935</v>
      </c>
    </row>
    <row r="31" customFormat="false" ht="15" hidden="false" customHeight="false" outlineLevel="0" collapsed="false">
      <c r="A31" s="5" t="s">
        <v>865</v>
      </c>
      <c r="B31" s="4" t="s">
        <v>742</v>
      </c>
      <c r="C31" s="4" t="n">
        <v>1</v>
      </c>
      <c r="D31" s="6" t="n">
        <v>1.29</v>
      </c>
      <c r="E31" s="6" t="n">
        <f aca="false">C31*D31</f>
        <v>1.29</v>
      </c>
      <c r="F31" s="4" t="n">
        <v>160</v>
      </c>
      <c r="G31" s="4" t="n">
        <v>400</v>
      </c>
      <c r="H31" s="4" t="s">
        <v>69</v>
      </c>
      <c r="I31" s="4" t="n">
        <v>240</v>
      </c>
      <c r="J31" s="6" t="n">
        <v>0.2322</v>
      </c>
      <c r="K31" s="6" t="n">
        <v>0.5418</v>
      </c>
      <c r="L31" s="4" t="s">
        <v>858</v>
      </c>
    </row>
    <row r="32" customFormat="false" ht="15" hidden="false" customHeight="false" outlineLevel="0" collapsed="false">
      <c r="A32" s="5" t="s">
        <v>744</v>
      </c>
      <c r="B32" s="4" t="s">
        <v>742</v>
      </c>
      <c r="C32" s="4" t="n">
        <v>1</v>
      </c>
      <c r="D32" s="6" t="n">
        <v>1.29</v>
      </c>
      <c r="E32" s="6" t="n">
        <f aca="false">C32*D32</f>
        <v>1.29</v>
      </c>
      <c r="F32" s="4" t="n">
        <v>160</v>
      </c>
      <c r="G32" s="4" t="n">
        <v>1000</v>
      </c>
      <c r="H32" s="4" t="s">
        <v>69</v>
      </c>
      <c r="I32" s="4" t="n">
        <v>840</v>
      </c>
      <c r="J32" s="6" t="n">
        <v>0</v>
      </c>
      <c r="K32" s="6" t="n">
        <v>1.0836</v>
      </c>
      <c r="L32" s="4" t="s">
        <v>861</v>
      </c>
    </row>
    <row r="33" customFormat="false" ht="15" hidden="false" customHeight="false" outlineLevel="0" collapsed="false">
      <c r="A33" s="5" t="s">
        <v>746</v>
      </c>
      <c r="B33" s="4" t="s">
        <v>742</v>
      </c>
      <c r="C33" s="4" t="n">
        <v>1</v>
      </c>
      <c r="D33" s="6" t="n">
        <v>0.75</v>
      </c>
      <c r="E33" s="6" t="n">
        <f aca="false">C33*D33</f>
        <v>0.75</v>
      </c>
      <c r="F33" s="4" t="n">
        <v>250</v>
      </c>
      <c r="G33" s="4" t="n">
        <v>500</v>
      </c>
      <c r="H33" s="4" t="s">
        <v>69</v>
      </c>
      <c r="I33" s="4" t="n">
        <v>250</v>
      </c>
      <c r="J33" s="6" t="n">
        <v>0</v>
      </c>
      <c r="K33" s="6" t="n">
        <v>0.375</v>
      </c>
      <c r="L33" s="4" t="s">
        <v>935</v>
      </c>
    </row>
    <row r="34" customFormat="false" ht="15" hidden="false" customHeight="false" outlineLevel="0" collapsed="false">
      <c r="A34" s="9" t="s">
        <v>748</v>
      </c>
      <c r="E34" s="17" t="n">
        <f aca="false">SUM(E16:E33)</f>
        <v>34.38</v>
      </c>
      <c r="J34" s="17" t="n">
        <f aca="false">SUM(J16:J33)</f>
        <v>3.71177936162936</v>
      </c>
      <c r="K34" s="17" t="n">
        <f aca="false">SUM(K16:K33)</f>
        <v>4.59795718380718</v>
      </c>
    </row>
    <row r="35" customFormat="false" ht="15" hidden="false" customHeight="false" outlineLevel="0" collapsed="false">
      <c r="A35" s="18" t="s">
        <v>39</v>
      </c>
      <c r="B35" s="18" t="s">
        <v>749</v>
      </c>
      <c r="C35" s="4" t="n">
        <v>1</v>
      </c>
      <c r="D35" s="6" t="n">
        <v>4.95</v>
      </c>
      <c r="E35" s="6" t="n">
        <f aca="false">C35*D35</f>
        <v>4.95</v>
      </c>
      <c r="L35" s="4" t="s">
        <v>750</v>
      </c>
    </row>
    <row r="36" customFormat="false" ht="15" hidden="false" customHeight="false" outlineLevel="0" collapsed="false">
      <c r="A36" s="18" t="s">
        <v>40</v>
      </c>
      <c r="B36" s="18" t="s">
        <v>749</v>
      </c>
      <c r="C36" s="4" t="n">
        <v>1</v>
      </c>
      <c r="D36" s="6" t="n">
        <v>3.09</v>
      </c>
      <c r="E36" s="6" t="n">
        <f aca="false">C36*D36</f>
        <v>3.09</v>
      </c>
      <c r="L36" s="4" t="s">
        <v>751</v>
      </c>
    </row>
    <row r="37" customFormat="false" ht="15" hidden="false" customHeight="false" outlineLevel="0" collapsed="false">
      <c r="A37" s="9" t="s">
        <v>752</v>
      </c>
      <c r="E37" s="17" t="n">
        <f aca="false">E34+E35+E36</f>
        <v>42.42</v>
      </c>
    </row>
    <row r="39" customFormat="false" ht="16.15" hidden="false" customHeight="false" outlineLevel="0" collapsed="false">
      <c r="A39" s="1" t="s">
        <v>753</v>
      </c>
    </row>
    <row r="40" customFormat="false" ht="26.85" hidden="false" customHeight="false" outlineLevel="0" collapsed="false">
      <c r="A40" s="3" t="s">
        <v>754</v>
      </c>
      <c r="B40" s="3" t="s">
        <v>708</v>
      </c>
      <c r="C40" s="3" t="s">
        <v>63</v>
      </c>
      <c r="D40" s="3" t="s">
        <v>755</v>
      </c>
      <c r="E40" s="3" t="s">
        <v>711</v>
      </c>
      <c r="F40" s="3" t="s">
        <v>756</v>
      </c>
      <c r="G40" s="3" t="s">
        <v>757</v>
      </c>
      <c r="H40" s="3" t="s">
        <v>64</v>
      </c>
      <c r="I40" s="3" t="s">
        <v>758</v>
      </c>
      <c r="J40" s="3"/>
      <c r="K40" s="3" t="s">
        <v>759</v>
      </c>
      <c r="L40" s="3" t="s">
        <v>717</v>
      </c>
    </row>
    <row r="41" customFormat="false" ht="15" hidden="false" customHeight="false" outlineLevel="0" collapsed="false">
      <c r="A41" s="19" t="s">
        <v>214</v>
      </c>
      <c r="B41" s="10" t="s">
        <v>760</v>
      </c>
      <c r="C41" s="4" t="n">
        <v>1</v>
      </c>
      <c r="D41" s="6" t="n">
        <v>1.29</v>
      </c>
      <c r="E41" s="6" t="n">
        <f aca="false">C41*D41</f>
        <v>1.29</v>
      </c>
      <c r="F41" s="4" t="n">
        <v>6</v>
      </c>
      <c r="G41" s="4" t="n">
        <v>55</v>
      </c>
      <c r="H41" s="4" t="s">
        <v>69</v>
      </c>
      <c r="I41" s="4" t="n">
        <v>49</v>
      </c>
      <c r="K41" s="6" t="n">
        <f aca="false">D41*I41/G41</f>
        <v>1.14927272727273</v>
      </c>
      <c r="L41" s="4" t="s">
        <v>815</v>
      </c>
    </row>
    <row r="42" customFormat="false" ht="15" hidden="false" customHeight="false" outlineLevel="0" collapsed="false">
      <c r="A42" s="19" t="s">
        <v>335</v>
      </c>
      <c r="B42" s="10" t="s">
        <v>760</v>
      </c>
      <c r="C42" s="4" t="n">
        <v>1</v>
      </c>
      <c r="D42" s="6" t="n">
        <v>1.8</v>
      </c>
      <c r="E42" s="6" t="n">
        <f aca="false">C42*D42</f>
        <v>1.8</v>
      </c>
      <c r="F42" s="4" t="n">
        <v>4</v>
      </c>
      <c r="G42" s="4" t="n">
        <v>12</v>
      </c>
      <c r="H42" s="4" t="s">
        <v>69</v>
      </c>
      <c r="I42" s="4" t="n">
        <v>8</v>
      </c>
      <c r="K42" s="6" t="n">
        <f aca="false">D42*I42/G42</f>
        <v>1.2</v>
      </c>
      <c r="L42" s="4" t="s">
        <v>858</v>
      </c>
    </row>
    <row r="43" customFormat="false" ht="15" hidden="false" customHeight="false" outlineLevel="0" collapsed="false">
      <c r="A43" s="19" t="s">
        <v>78</v>
      </c>
      <c r="B43" s="10" t="s">
        <v>760</v>
      </c>
      <c r="C43" s="4" t="n">
        <v>1</v>
      </c>
      <c r="D43" s="6" t="n">
        <v>2.15</v>
      </c>
      <c r="E43" s="6" t="n">
        <f aca="false">C43*D43</f>
        <v>2.15</v>
      </c>
      <c r="F43" s="4" t="n">
        <v>4</v>
      </c>
      <c r="G43" s="4" t="n">
        <v>47</v>
      </c>
      <c r="H43" s="4" t="s">
        <v>69</v>
      </c>
      <c r="I43" s="4" t="n">
        <v>43</v>
      </c>
      <c r="K43" s="6" t="n">
        <f aca="false">D43*I43/G43</f>
        <v>1.96702127659574</v>
      </c>
      <c r="L43" s="4" t="s">
        <v>861</v>
      </c>
    </row>
    <row r="44" customFormat="false" ht="15" hidden="false" customHeight="false" outlineLevel="0" collapsed="false">
      <c r="A44" s="19" t="s">
        <v>87</v>
      </c>
      <c r="B44" s="10" t="s">
        <v>760</v>
      </c>
      <c r="C44" s="4" t="n">
        <v>1</v>
      </c>
      <c r="D44" s="6" t="n">
        <v>0.95</v>
      </c>
      <c r="E44" s="6" t="n">
        <f aca="false">C44*D44</f>
        <v>0.95</v>
      </c>
      <c r="F44" s="4" t="n">
        <v>10</v>
      </c>
      <c r="G44" s="4" t="n">
        <v>1000</v>
      </c>
      <c r="H44" s="4" t="s">
        <v>69</v>
      </c>
      <c r="I44" s="4" t="n">
        <v>990</v>
      </c>
      <c r="K44" s="6" t="n">
        <f aca="false">D44*I44/G44</f>
        <v>0.9405</v>
      </c>
      <c r="L44" s="4" t="s">
        <v>861</v>
      </c>
    </row>
    <row r="45" customFormat="false" ht="15" hidden="false" customHeight="false" outlineLevel="0" collapsed="false">
      <c r="A45" s="19" t="s">
        <v>90</v>
      </c>
      <c r="B45" s="10" t="s">
        <v>760</v>
      </c>
      <c r="C45" s="4" t="n">
        <v>1</v>
      </c>
      <c r="D45" s="6" t="n">
        <v>2.15</v>
      </c>
      <c r="E45" s="6" t="n">
        <f aca="false">C45*D45</f>
        <v>2.15</v>
      </c>
      <c r="F45" s="4" t="n">
        <v>86</v>
      </c>
      <c r="G45" s="4" t="n">
        <v>1000</v>
      </c>
      <c r="H45" s="4" t="s">
        <v>74</v>
      </c>
      <c r="I45" s="4" t="n">
        <v>914</v>
      </c>
      <c r="K45" s="6" t="n">
        <f aca="false">D45*I45/G45</f>
        <v>1.9651</v>
      </c>
      <c r="L45" s="4" t="s">
        <v>939</v>
      </c>
    </row>
    <row r="46" customFormat="false" ht="15" hidden="false" customHeight="false" outlineLevel="0" collapsed="false">
      <c r="A46" s="19" t="s">
        <v>505</v>
      </c>
      <c r="B46" s="10" t="s">
        <v>760</v>
      </c>
      <c r="C46" s="4" t="n">
        <v>1</v>
      </c>
      <c r="D46" s="6" t="n">
        <v>1.89</v>
      </c>
      <c r="E46" s="6" t="n">
        <f aca="false">C46*D46</f>
        <v>1.89</v>
      </c>
      <c r="F46" s="4" t="n">
        <v>1</v>
      </c>
      <c r="G46" s="4" t="n">
        <v>12</v>
      </c>
      <c r="H46" s="4" t="s">
        <v>69</v>
      </c>
      <c r="I46" s="4" t="n">
        <v>11</v>
      </c>
      <c r="K46" s="6" t="n">
        <f aca="false">D46*I46/G46</f>
        <v>1.7325</v>
      </c>
      <c r="L46" s="4" t="s">
        <v>815</v>
      </c>
    </row>
    <row r="47" customFormat="false" ht="15" hidden="false" customHeight="false" outlineLevel="0" collapsed="false">
      <c r="A47" s="19" t="s">
        <v>80</v>
      </c>
      <c r="B47" s="10" t="s">
        <v>760</v>
      </c>
      <c r="C47" s="4" t="n">
        <v>1</v>
      </c>
      <c r="D47" s="6" t="n">
        <v>1.69</v>
      </c>
      <c r="E47" s="6" t="n">
        <f aca="false">C47*D47</f>
        <v>1.69</v>
      </c>
      <c r="F47" s="4" t="n">
        <v>10</v>
      </c>
      <c r="G47" s="4" t="n">
        <v>150</v>
      </c>
      <c r="H47" s="4" t="s">
        <v>74</v>
      </c>
      <c r="I47" s="4" t="n">
        <v>140</v>
      </c>
      <c r="K47" s="6" t="n">
        <f aca="false">D47*I47/G47</f>
        <v>1.57733333333333</v>
      </c>
      <c r="L47" s="4" t="s">
        <v>861</v>
      </c>
    </row>
    <row r="48" customFormat="false" ht="15" hidden="false" customHeight="false" outlineLevel="0" collapsed="false">
      <c r="A48" s="19" t="s">
        <v>97</v>
      </c>
      <c r="B48" s="10" t="s">
        <v>760</v>
      </c>
      <c r="C48" s="4" t="n">
        <v>1</v>
      </c>
      <c r="D48" s="6" t="n">
        <v>0.5</v>
      </c>
      <c r="E48" s="6" t="n">
        <f aca="false">C48*D48</f>
        <v>0.5</v>
      </c>
      <c r="F48" s="4" t="n">
        <v>12</v>
      </c>
      <c r="G48" s="4" t="n">
        <v>100</v>
      </c>
      <c r="H48" s="4" t="s">
        <v>69</v>
      </c>
      <c r="I48" s="4" t="n">
        <v>88</v>
      </c>
      <c r="K48" s="6" t="n">
        <f aca="false">D48*I48/G48</f>
        <v>0.44</v>
      </c>
      <c r="L48" s="4" t="s">
        <v>940</v>
      </c>
    </row>
    <row r="49" customFormat="false" ht="15" hidden="false" customHeight="false" outlineLevel="0" collapsed="false">
      <c r="A49" s="9" t="s">
        <v>764</v>
      </c>
      <c r="E49" s="17" t="n">
        <f aca="false">SUM(E41:E48)</f>
        <v>12.42</v>
      </c>
    </row>
    <row r="51" customFormat="false" ht="16.15" hidden="false" customHeight="false" outlineLevel="0" collapsed="false">
      <c r="A51" s="1" t="s">
        <v>765</v>
      </c>
    </row>
    <row r="52" customFormat="false" ht="15" hidden="false" customHeight="false" outlineLevel="0" collapsed="false">
      <c r="A52" s="4" t="s">
        <v>766</v>
      </c>
      <c r="E52" s="6" t="n">
        <f aca="false">E37</f>
        <v>42.42</v>
      </c>
    </row>
    <row r="53" customFormat="false" ht="15" hidden="false" customHeight="false" outlineLevel="0" collapsed="false">
      <c r="A53" s="4" t="s">
        <v>767</v>
      </c>
      <c r="E53" s="6" t="n">
        <f aca="false">E49</f>
        <v>12.42</v>
      </c>
    </row>
    <row r="54" customFormat="false" ht="15" hidden="false" customHeight="false" outlineLevel="0" collapsed="false">
      <c r="A54" s="9" t="s">
        <v>768</v>
      </c>
      <c r="E54" s="17" t="n">
        <f aca="false">E37+E49</f>
        <v>54.84</v>
      </c>
    </row>
    <row r="55" customFormat="false" ht="15" hidden="false" customHeight="false" outlineLevel="0" collapsed="false">
      <c r="A55" s="4" t="s">
        <v>769</v>
      </c>
      <c r="E55" s="6" t="n">
        <v>55</v>
      </c>
    </row>
    <row r="56" customFormat="false" ht="15" hidden="false" customHeight="false" outlineLevel="0" collapsed="false">
      <c r="A56" s="4" t="s">
        <v>770</v>
      </c>
      <c r="E56" s="6" t="n">
        <f aca="false">E55-E54</f>
        <v>0.159999999999997</v>
      </c>
    </row>
    <row r="57" customFormat="false" ht="15" hidden="false" customHeight="false" outlineLevel="0" collapsed="false">
      <c r="A57" s="4" t="s">
        <v>771</v>
      </c>
      <c r="E57" s="6" t="n">
        <f aca="false">J34</f>
        <v>3.71177936162936</v>
      </c>
    </row>
    <row r="58" customFormat="false" ht="15" hidden="false" customHeight="false" outlineLevel="0" collapsed="false">
      <c r="A58" s="4" t="s">
        <v>772</v>
      </c>
      <c r="E58" s="20" t="n">
        <f aca="false">J34/E37</f>
        <v>0.0875006921647657</v>
      </c>
    </row>
    <row r="59" customFormat="false" ht="15" hidden="false" customHeight="false" outlineLevel="0" collapsed="false">
      <c r="A59" s="4" t="s">
        <v>773</v>
      </c>
      <c r="E59" s="6" t="n">
        <f aca="false">K34</f>
        <v>4.59795718380718</v>
      </c>
    </row>
    <row r="60" customFormat="false" ht="15" hidden="false" customHeight="false" outlineLevel="0" collapsed="false">
      <c r="A60" s="4" t="s">
        <v>774</v>
      </c>
      <c r="E60" s="6" t="n">
        <f aca="false">(E37+E49)/14</f>
        <v>3.91714285714286</v>
      </c>
    </row>
    <row r="61" customFormat="false" ht="15" hidden="false" customHeight="false" outlineLevel="0" collapsed="false">
      <c r="A61" s="4" t="s">
        <v>775</v>
      </c>
      <c r="E61" s="6" t="n">
        <f aca="false">E37</f>
        <v>42.42</v>
      </c>
    </row>
    <row r="64" customFormat="false" ht="16.15" hidden="false" customHeight="false" outlineLevel="0" collapsed="false">
      <c r="A64" s="1" t="s">
        <v>776</v>
      </c>
    </row>
    <row r="65" customFormat="false" ht="15" hidden="false" customHeight="false" outlineLevel="0" collapsed="false">
      <c r="A65" s="21" t="s">
        <v>833</v>
      </c>
    </row>
    <row r="66" customFormat="false" ht="30" hidden="false" customHeight="true" outlineLevel="0" collapsed="false">
      <c r="A66" s="9" t="s">
        <v>62</v>
      </c>
      <c r="B66" s="5" t="s">
        <v>834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779</v>
      </c>
      <c r="B67" s="5" t="s">
        <v>150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18" hidden="false" customHeight="true" outlineLevel="0" collapsed="false">
      <c r="A68" s="4" t="s">
        <v>780</v>
      </c>
      <c r="B68" s="5" t="s">
        <v>151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30" hidden="false" customHeight="true" outlineLevel="0" collapsed="false">
      <c r="A69" s="4" t="s">
        <v>781</v>
      </c>
      <c r="B69" s="5" t="s">
        <v>152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30" hidden="false" customHeight="true" outlineLevel="0" collapsed="false">
      <c r="A70" s="4" t="s">
        <v>782</v>
      </c>
      <c r="B70" s="5" t="s">
        <v>153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8" hidden="false" customHeight="true" outlineLevel="0" collapsed="false">
      <c r="A71" s="4" t="s">
        <v>783</v>
      </c>
      <c r="B71" s="5" t="s">
        <v>154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30" hidden="false" customHeight="true" outlineLevel="0" collapsed="false">
      <c r="A72" s="4" t="s">
        <v>784</v>
      </c>
      <c r="B72" s="5" t="s">
        <v>155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4" customFormat="false" ht="15" hidden="false" customHeight="false" outlineLevel="0" collapsed="false">
      <c r="A74" s="21" t="s">
        <v>941</v>
      </c>
    </row>
    <row r="75" customFormat="false" ht="30" hidden="false" customHeight="true" outlineLevel="0" collapsed="false">
      <c r="A75" s="9" t="s">
        <v>62</v>
      </c>
      <c r="B75" s="5" t="s">
        <v>942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779</v>
      </c>
      <c r="B76" s="5" t="s">
        <v>271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780</v>
      </c>
      <c r="B77" s="5" t="s">
        <v>272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781</v>
      </c>
      <c r="B78" s="5" t="s">
        <v>273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782</v>
      </c>
      <c r="B79" s="5" t="s">
        <v>274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783</v>
      </c>
      <c r="B80" s="5" t="s">
        <v>275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30" hidden="false" customHeight="true" outlineLevel="0" collapsed="false">
      <c r="A81" s="4" t="s">
        <v>784</v>
      </c>
      <c r="B81" s="5" t="s">
        <v>276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3" customFormat="false" ht="15" hidden="false" customHeight="false" outlineLevel="0" collapsed="false">
      <c r="A83" s="21" t="s">
        <v>943</v>
      </c>
    </row>
    <row r="84" customFormat="false" ht="30" hidden="false" customHeight="true" outlineLevel="0" collapsed="false">
      <c r="A84" s="9" t="s">
        <v>62</v>
      </c>
      <c r="B84" s="5" t="s">
        <v>871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779</v>
      </c>
      <c r="B85" s="5" t="s">
        <v>368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45" hidden="false" customHeight="true" outlineLevel="0" collapsed="false">
      <c r="A86" s="4" t="s">
        <v>780</v>
      </c>
      <c r="B86" s="5" t="s">
        <v>369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781</v>
      </c>
      <c r="B87" s="5" t="s">
        <v>370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782</v>
      </c>
      <c r="B88" s="5" t="s">
        <v>371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783</v>
      </c>
      <c r="B89" s="5" t="s">
        <v>372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1" customFormat="false" ht="15" hidden="false" customHeight="false" outlineLevel="0" collapsed="false">
      <c r="A91" s="21" t="s">
        <v>944</v>
      </c>
    </row>
    <row r="92" customFormat="false" ht="30" hidden="false" customHeight="true" outlineLevel="0" collapsed="false">
      <c r="A92" s="9" t="s">
        <v>62</v>
      </c>
      <c r="B92" s="5" t="s">
        <v>838</v>
      </c>
      <c r="C92" s="5"/>
      <c r="D92" s="5"/>
      <c r="E92" s="5"/>
      <c r="F92" s="5"/>
      <c r="G92" s="5"/>
      <c r="H92" s="5"/>
      <c r="I92" s="5"/>
      <c r="J92" s="5"/>
      <c r="K92" s="5"/>
      <c r="L92" s="5"/>
    </row>
    <row r="93" customFormat="false" ht="30" hidden="false" customHeight="true" outlineLevel="0" collapsed="false">
      <c r="A93" s="4" t="s">
        <v>779</v>
      </c>
      <c r="B93" s="5" t="s">
        <v>584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30" hidden="false" customHeight="true" outlineLevel="0" collapsed="false">
      <c r="A94" s="4" t="s">
        <v>780</v>
      </c>
      <c r="B94" s="5" t="s">
        <v>585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781</v>
      </c>
      <c r="B95" s="5" t="s">
        <v>586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782</v>
      </c>
      <c r="B96" s="5" t="s">
        <v>587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8" hidden="false" customHeight="true" outlineLevel="0" collapsed="false">
      <c r="A97" s="4" t="s">
        <v>783</v>
      </c>
      <c r="B97" s="5" t="s">
        <v>588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784</v>
      </c>
      <c r="B98" s="5" t="s">
        <v>589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785</v>
      </c>
      <c r="B99" s="5" t="s">
        <v>590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30" hidden="false" customHeight="true" outlineLevel="0" collapsed="false">
      <c r="A100" s="4" t="s">
        <v>839</v>
      </c>
      <c r="B100" s="5" t="s">
        <v>591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2" customFormat="false" ht="15" hidden="false" customHeight="false" outlineLevel="0" collapsed="false">
      <c r="A102" s="21" t="s">
        <v>945</v>
      </c>
    </row>
    <row r="103" customFormat="false" ht="30" hidden="false" customHeight="true" outlineLevel="0" collapsed="false">
      <c r="A103" s="9" t="s">
        <v>62</v>
      </c>
      <c r="B103" s="5" t="s">
        <v>875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30" hidden="false" customHeight="true" outlineLevel="0" collapsed="false">
      <c r="A104" s="4" t="s">
        <v>779</v>
      </c>
      <c r="B104" s="5" t="s">
        <v>102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780</v>
      </c>
      <c r="B105" s="5" t="s">
        <v>103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781</v>
      </c>
      <c r="B106" s="5" t="s">
        <v>104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8" hidden="false" customHeight="true" outlineLevel="0" collapsed="false">
      <c r="A107" s="4" t="s">
        <v>782</v>
      </c>
      <c r="B107" s="5" t="s">
        <v>105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783</v>
      </c>
      <c r="B108" s="5" t="s">
        <v>106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30" hidden="false" customHeight="true" outlineLevel="0" collapsed="false">
      <c r="A109" s="4" t="s">
        <v>784</v>
      </c>
      <c r="B109" s="5" t="s">
        <v>107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18" hidden="false" customHeight="true" outlineLevel="0" collapsed="false">
      <c r="A110" s="4" t="s">
        <v>785</v>
      </c>
      <c r="B110" s="5" t="s">
        <v>108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customFormat="false" ht="30" hidden="false" customHeight="true" outlineLevel="0" collapsed="false">
      <c r="A111" s="4" t="s">
        <v>839</v>
      </c>
      <c r="B111" s="5" t="s">
        <v>109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</row>
  </sheetData>
  <mergeCells count="38">
    <mergeCell ref="B66:L66"/>
    <mergeCell ref="B67:L67"/>
    <mergeCell ref="B68:L68"/>
    <mergeCell ref="B69:L69"/>
    <mergeCell ref="B70:L70"/>
    <mergeCell ref="B71:L71"/>
    <mergeCell ref="B72:L72"/>
    <mergeCell ref="B75:L75"/>
    <mergeCell ref="B76:L76"/>
    <mergeCell ref="B77:L77"/>
    <mergeCell ref="B78:L78"/>
    <mergeCell ref="B79:L79"/>
    <mergeCell ref="B80:L80"/>
    <mergeCell ref="B81:L81"/>
    <mergeCell ref="B84:L84"/>
    <mergeCell ref="B85:L85"/>
    <mergeCell ref="B86:L86"/>
    <mergeCell ref="B87:L87"/>
    <mergeCell ref="B88:L88"/>
    <mergeCell ref="B89:L89"/>
    <mergeCell ref="B92:L92"/>
    <mergeCell ref="B93:L93"/>
    <mergeCell ref="B94:L94"/>
    <mergeCell ref="B95:L95"/>
    <mergeCell ref="B96:L96"/>
    <mergeCell ref="B97:L97"/>
    <mergeCell ref="B98:L98"/>
    <mergeCell ref="B99:L99"/>
    <mergeCell ref="B100:L100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1:L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946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947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318</v>
      </c>
      <c r="D6" s="4" t="n">
        <f aca="false">ROUND(Nutrition!H171,0)</f>
        <v>949</v>
      </c>
      <c r="E6" s="5" t="s">
        <v>849</v>
      </c>
      <c r="F6" s="5" t="s">
        <v>320</v>
      </c>
      <c r="G6" s="4" t="str">
        <f aca="false">ROUND(Nutrition!I171,0)&amp;" / "&amp;ROUND(Nutrition!J171,0)&amp;" / "&amp;ROUND(Nutrition!K171,0)</f>
        <v>37 / 102 / 43</v>
      </c>
    </row>
    <row r="7" customFormat="false" ht="31.5" hidden="false" customHeight="true" outlineLevel="0" collapsed="false">
      <c r="A7" s="4" t="s">
        <v>686</v>
      </c>
      <c r="B7" s="5" t="s">
        <v>948</v>
      </c>
      <c r="C7" s="16" t="s">
        <v>373</v>
      </c>
      <c r="D7" s="4" t="n">
        <f aca="false">ROUND(Nutrition!H204,0)</f>
        <v>888</v>
      </c>
      <c r="E7" s="5" t="s">
        <v>896</v>
      </c>
      <c r="F7" s="5" t="s">
        <v>377</v>
      </c>
      <c r="G7" s="4" t="str">
        <f aca="false">ROUND(Nutrition!I204,0)&amp;" / "&amp;ROUND(Nutrition!J204,0)&amp;" / "&amp;ROUND(Nutrition!K204,0)</f>
        <v>33 / 93 / 41</v>
      </c>
    </row>
    <row r="8" customFormat="false" ht="31.5" hidden="false" customHeight="true" outlineLevel="0" collapsed="false">
      <c r="A8" s="4" t="s">
        <v>689</v>
      </c>
      <c r="B8" s="5" t="s">
        <v>897</v>
      </c>
      <c r="C8" s="16" t="s">
        <v>490</v>
      </c>
      <c r="D8" s="4" t="n">
        <f aca="false">ROUND(Nutrition!H289,0)</f>
        <v>741</v>
      </c>
      <c r="E8" s="5" t="s">
        <v>949</v>
      </c>
      <c r="F8" s="5" t="s">
        <v>494</v>
      </c>
      <c r="G8" s="4" t="str">
        <f aca="false">ROUND(Nutrition!I289,0)&amp;" / "&amp;ROUND(Nutrition!J289,0)&amp;" / "&amp;ROUND(Nutrition!K289,0)</f>
        <v>33 / 82 / 30</v>
      </c>
    </row>
    <row r="9" customFormat="false" ht="31.5" hidden="false" customHeight="true" outlineLevel="0" collapsed="false">
      <c r="A9" s="4" t="s">
        <v>692</v>
      </c>
      <c r="B9" s="5" t="s">
        <v>950</v>
      </c>
      <c r="C9" s="16" t="s">
        <v>396</v>
      </c>
      <c r="D9" s="4" t="n">
        <f aca="false">ROUND(Nutrition!H221,0)</f>
        <v>943</v>
      </c>
      <c r="E9" s="5" t="s">
        <v>898</v>
      </c>
      <c r="F9" s="5"/>
      <c r="G9" s="4" t="str">
        <f aca="false">ROUND(Nutrition!I221,0)&amp;" / "&amp;ROUND(Nutrition!J221,0)&amp;" / "&amp;ROUND(Nutrition!K221,0)</f>
        <v>29 / 96 / 48</v>
      </c>
    </row>
    <row r="10" customFormat="false" ht="31.5" hidden="false" customHeight="true" outlineLevel="0" collapsed="false">
      <c r="A10" s="4" t="s">
        <v>695</v>
      </c>
      <c r="B10" s="5" t="s">
        <v>899</v>
      </c>
      <c r="C10" s="16" t="s">
        <v>533</v>
      </c>
      <c r="D10" s="4" t="n">
        <f aca="false">ROUND(Nutrition!H321,0)</f>
        <v>944</v>
      </c>
      <c r="E10" s="5" t="s">
        <v>900</v>
      </c>
      <c r="F10" s="5"/>
      <c r="G10" s="4" t="str">
        <f aca="false">ROUND(Nutrition!I321,0)&amp;" / "&amp;ROUND(Nutrition!J321,0)&amp;" / "&amp;ROUND(Nutrition!K321,0)</f>
        <v>37 / 101 / 43</v>
      </c>
    </row>
    <row r="11" customFormat="false" ht="39.55" hidden="false" customHeight="false" outlineLevel="0" collapsed="false">
      <c r="A11" s="4" t="s">
        <v>698</v>
      </c>
      <c r="B11" s="5" t="s">
        <v>901</v>
      </c>
      <c r="C11" s="4" t="s">
        <v>951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951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903</v>
      </c>
      <c r="B16" s="4" t="s">
        <v>719</v>
      </c>
      <c r="C16" s="4" t="n">
        <v>1</v>
      </c>
      <c r="D16" s="6" t="n">
        <v>2.59</v>
      </c>
      <c r="E16" s="6" t="n">
        <f aca="false">C16*D16</f>
        <v>2.59</v>
      </c>
      <c r="F16" s="4" t="n">
        <v>150</v>
      </c>
      <c r="G16" s="4" t="n">
        <v>225</v>
      </c>
      <c r="H16" s="4" t="s">
        <v>69</v>
      </c>
      <c r="I16" s="4" t="n">
        <v>75</v>
      </c>
      <c r="J16" s="6" t="n">
        <v>0.259</v>
      </c>
      <c r="K16" s="6" t="n">
        <v>0.604333333333333</v>
      </c>
      <c r="L16" s="4" t="s">
        <v>904</v>
      </c>
    </row>
    <row r="17" customFormat="false" ht="15" hidden="false" customHeight="false" outlineLevel="0" collapsed="false">
      <c r="A17" s="5" t="s">
        <v>721</v>
      </c>
      <c r="B17" s="4" t="s">
        <v>719</v>
      </c>
      <c r="C17" s="4" t="n">
        <v>1</v>
      </c>
      <c r="D17" s="6" t="n">
        <v>2.09</v>
      </c>
      <c r="E17" s="6" t="n">
        <f aca="false">C17*D17</f>
        <v>2.09</v>
      </c>
      <c r="F17" s="4" t="n">
        <v>150</v>
      </c>
      <c r="G17" s="4" t="n">
        <v>200</v>
      </c>
      <c r="H17" s="4" t="s">
        <v>69</v>
      </c>
      <c r="I17" s="4" t="n">
        <v>50</v>
      </c>
      <c r="J17" s="6" t="n">
        <v>0.26125</v>
      </c>
      <c r="K17" s="6" t="n">
        <v>0.26125</v>
      </c>
      <c r="L17" s="4" t="s">
        <v>917</v>
      </c>
    </row>
    <row r="18" customFormat="false" ht="15" hidden="false" customHeight="false" outlineLevel="0" collapsed="false">
      <c r="A18" s="5" t="s">
        <v>952</v>
      </c>
      <c r="B18" s="4" t="s">
        <v>726</v>
      </c>
      <c r="C18" s="4" t="n">
        <v>1</v>
      </c>
      <c r="D18" s="6" t="n">
        <v>2.09</v>
      </c>
      <c r="E18" s="6" t="n">
        <f aca="false">C18*D18</f>
        <v>2.09</v>
      </c>
      <c r="F18" s="4" t="n">
        <v>80</v>
      </c>
      <c r="G18" s="4" t="n">
        <v>200</v>
      </c>
      <c r="H18" s="4" t="s">
        <v>69</v>
      </c>
      <c r="I18" s="4" t="n">
        <v>120</v>
      </c>
      <c r="J18" s="8" t="n">
        <v>0.8778</v>
      </c>
      <c r="K18" s="6" t="n">
        <v>0.3762</v>
      </c>
      <c r="L18" s="4" t="s">
        <v>953</v>
      </c>
    </row>
    <row r="19" customFormat="false" ht="15" hidden="false" customHeight="false" outlineLevel="0" collapsed="false">
      <c r="A19" s="5" t="s">
        <v>725</v>
      </c>
      <c r="B19" s="4" t="s">
        <v>726</v>
      </c>
      <c r="C19" s="4" t="n">
        <v>1</v>
      </c>
      <c r="D19" s="6" t="n">
        <v>0.75</v>
      </c>
      <c r="E19" s="6" t="n">
        <f aca="false">C19*D19</f>
        <v>0.75</v>
      </c>
      <c r="F19" s="4" t="n">
        <v>120</v>
      </c>
      <c r="G19" s="4" t="n">
        <v>200</v>
      </c>
      <c r="H19" s="4" t="s">
        <v>74</v>
      </c>
      <c r="I19" s="4" t="n">
        <v>80</v>
      </c>
      <c r="J19" s="6" t="n">
        <v>0.09</v>
      </c>
      <c r="K19" s="6" t="n">
        <v>0.21</v>
      </c>
      <c r="L19" s="4" t="s">
        <v>912</v>
      </c>
    </row>
    <row r="20" customFormat="false" ht="15" hidden="false" customHeight="false" outlineLevel="0" collapsed="false">
      <c r="A20" s="5" t="s">
        <v>728</v>
      </c>
      <c r="B20" s="4" t="s">
        <v>726</v>
      </c>
      <c r="C20" s="4" t="n">
        <v>2</v>
      </c>
      <c r="D20" s="6" t="n">
        <v>0.69</v>
      </c>
      <c r="E20" s="6" t="n">
        <f aca="false">C20*D20</f>
        <v>1.38</v>
      </c>
      <c r="F20" s="4" t="n">
        <v>260</v>
      </c>
      <c r="G20" s="4" t="n">
        <v>400</v>
      </c>
      <c r="H20" s="4" t="s">
        <v>74</v>
      </c>
      <c r="I20" s="4" t="n">
        <v>140</v>
      </c>
      <c r="J20" s="6" t="n">
        <v>0</v>
      </c>
      <c r="K20" s="6" t="n">
        <v>0.483</v>
      </c>
      <c r="L20" s="4" t="s">
        <v>954</v>
      </c>
    </row>
    <row r="21" customFormat="false" ht="15" hidden="false" customHeight="false" outlineLevel="0" collapsed="false">
      <c r="A21" s="5" t="s">
        <v>909</v>
      </c>
      <c r="B21" s="4" t="s">
        <v>726</v>
      </c>
      <c r="C21" s="4" t="n">
        <v>1</v>
      </c>
      <c r="D21" s="6" t="n">
        <v>1.95</v>
      </c>
      <c r="E21" s="6" t="n">
        <f aca="false">C21*D21</f>
        <v>1.95</v>
      </c>
      <c r="F21" s="4" t="n">
        <v>110</v>
      </c>
      <c r="G21" s="4" t="n">
        <v>120</v>
      </c>
      <c r="H21" s="4" t="s">
        <v>69</v>
      </c>
      <c r="I21" s="4" t="n">
        <v>10</v>
      </c>
      <c r="J21" s="6" t="n">
        <v>0</v>
      </c>
      <c r="K21" s="6" t="n">
        <v>0.1625</v>
      </c>
      <c r="L21" s="4" t="s">
        <v>955</v>
      </c>
    </row>
    <row r="22" customFormat="false" ht="15" hidden="false" customHeight="false" outlineLevel="0" collapsed="false">
      <c r="A22" s="5" t="s">
        <v>730</v>
      </c>
      <c r="B22" s="4" t="s">
        <v>726</v>
      </c>
      <c r="C22" s="4" t="n">
        <v>1</v>
      </c>
      <c r="D22" s="6" t="n">
        <v>1.69</v>
      </c>
      <c r="E22" s="6" t="n">
        <f aca="false">C22*D22</f>
        <v>1.69</v>
      </c>
      <c r="F22" s="4" t="n">
        <v>220</v>
      </c>
      <c r="G22" s="4" t="n">
        <v>330</v>
      </c>
      <c r="H22" s="4" t="s">
        <v>69</v>
      </c>
      <c r="I22" s="4" t="n">
        <v>110</v>
      </c>
      <c r="J22" s="6" t="n">
        <v>0</v>
      </c>
      <c r="K22" s="6" t="n">
        <v>0.563333333333333</v>
      </c>
      <c r="L22" s="4" t="s">
        <v>953</v>
      </c>
    </row>
    <row r="23" customFormat="false" ht="15" hidden="false" customHeight="false" outlineLevel="0" collapsed="false">
      <c r="A23" s="5" t="s">
        <v>857</v>
      </c>
      <c r="B23" s="4" t="s">
        <v>817</v>
      </c>
      <c r="C23" s="4" t="n">
        <v>2</v>
      </c>
      <c r="D23" s="6" t="n">
        <v>1.69</v>
      </c>
      <c r="E23" s="6" t="n">
        <f aca="false">C23*D23</f>
        <v>3.38</v>
      </c>
      <c r="F23" s="4" t="n">
        <v>500</v>
      </c>
      <c r="G23" s="4" t="n">
        <v>600</v>
      </c>
      <c r="H23" s="4" t="s">
        <v>69</v>
      </c>
      <c r="I23" s="4" t="n">
        <v>100</v>
      </c>
      <c r="J23" s="8" t="n">
        <v>0.563333333333333</v>
      </c>
      <c r="K23" s="6" t="n">
        <v>0</v>
      </c>
      <c r="L23" s="4" t="s">
        <v>956</v>
      </c>
    </row>
    <row r="24" customFormat="false" ht="15" hidden="false" customHeight="false" outlineLevel="0" collapsed="false">
      <c r="A24" s="5" t="s">
        <v>911</v>
      </c>
      <c r="B24" s="4" t="s">
        <v>817</v>
      </c>
      <c r="C24" s="4" t="n">
        <v>2</v>
      </c>
      <c r="D24" s="6" t="n">
        <v>2.05</v>
      </c>
      <c r="E24" s="6" t="n">
        <f aca="false">C24*D24</f>
        <v>4.1</v>
      </c>
      <c r="F24" s="4" t="n">
        <v>400</v>
      </c>
      <c r="G24" s="4" t="n">
        <v>500</v>
      </c>
      <c r="H24" s="4" t="s">
        <v>69</v>
      </c>
      <c r="I24" s="4" t="n">
        <v>100</v>
      </c>
      <c r="J24" s="8" t="n">
        <v>0.82</v>
      </c>
      <c r="K24" s="6" t="n">
        <v>0</v>
      </c>
      <c r="L24" s="4" t="s">
        <v>912</v>
      </c>
    </row>
    <row r="25" customFormat="false" ht="15" hidden="false" customHeight="false" outlineLevel="0" collapsed="false">
      <c r="A25" s="5" t="s">
        <v>734</v>
      </c>
      <c r="B25" s="4" t="s">
        <v>732</v>
      </c>
      <c r="C25" s="4" t="n">
        <v>1</v>
      </c>
      <c r="D25" s="6" t="n">
        <v>2.69</v>
      </c>
      <c r="E25" s="6" t="n">
        <f aca="false">C25*D25</f>
        <v>2.69</v>
      </c>
      <c r="F25" s="4" t="n">
        <v>420</v>
      </c>
      <c r="G25" s="4" t="n">
        <v>1000</v>
      </c>
      <c r="H25" s="4" t="s">
        <v>69</v>
      </c>
      <c r="I25" s="4" t="n">
        <v>580</v>
      </c>
      <c r="J25" s="6" t="n">
        <v>0.31204</v>
      </c>
      <c r="K25" s="6" t="n">
        <v>1.24816</v>
      </c>
      <c r="L25" s="4" t="s">
        <v>957</v>
      </c>
    </row>
    <row r="26" customFormat="false" ht="15" hidden="false" customHeight="false" outlineLevel="0" collapsed="false">
      <c r="A26" s="5" t="s">
        <v>736</v>
      </c>
      <c r="B26" s="4" t="s">
        <v>732</v>
      </c>
      <c r="C26" s="4" t="n">
        <v>2</v>
      </c>
      <c r="D26" s="6" t="n">
        <v>0.99</v>
      </c>
      <c r="E26" s="6" t="n">
        <f aca="false">C26*D26</f>
        <v>1.98</v>
      </c>
      <c r="F26" s="4" t="n">
        <v>230</v>
      </c>
      <c r="G26" s="4" t="n">
        <v>300</v>
      </c>
      <c r="H26" s="4" t="s">
        <v>69</v>
      </c>
      <c r="I26" s="4" t="n">
        <v>70</v>
      </c>
      <c r="J26" s="6" t="n">
        <v>0.462</v>
      </c>
      <c r="K26" s="6" t="n">
        <v>0</v>
      </c>
      <c r="L26" s="4" t="s">
        <v>958</v>
      </c>
    </row>
    <row r="27" customFormat="false" ht="15" hidden="false" customHeight="false" outlineLevel="0" collapsed="false">
      <c r="A27" s="5" t="s">
        <v>822</v>
      </c>
      <c r="B27" s="4" t="s">
        <v>732</v>
      </c>
      <c r="C27" s="4" t="n">
        <v>1</v>
      </c>
      <c r="D27" s="6" t="n">
        <v>0.99</v>
      </c>
      <c r="E27" s="6" t="n">
        <f aca="false">C27*D27</f>
        <v>0.99</v>
      </c>
      <c r="F27" s="4" t="n">
        <v>150</v>
      </c>
      <c r="G27" s="4" t="n">
        <v>250</v>
      </c>
      <c r="H27" s="4" t="s">
        <v>69</v>
      </c>
      <c r="I27" s="4" t="n">
        <v>100</v>
      </c>
      <c r="J27" s="6" t="n">
        <v>0.396</v>
      </c>
      <c r="K27" s="6" t="n">
        <v>0</v>
      </c>
      <c r="L27" s="4" t="s">
        <v>904</v>
      </c>
    </row>
    <row r="28" customFormat="false" ht="15" hidden="false" customHeight="false" outlineLevel="0" collapsed="false">
      <c r="A28" s="5" t="s">
        <v>914</v>
      </c>
      <c r="B28" s="4" t="s">
        <v>742</v>
      </c>
      <c r="C28" s="4" t="n">
        <v>2</v>
      </c>
      <c r="D28" s="6" t="n">
        <v>1.29</v>
      </c>
      <c r="E28" s="6" t="n">
        <f aca="false">C28*D28</f>
        <v>2.58</v>
      </c>
      <c r="F28" s="4" t="n">
        <v>400</v>
      </c>
      <c r="G28" s="4" t="n">
        <v>460</v>
      </c>
      <c r="H28" s="4" t="s">
        <v>69</v>
      </c>
      <c r="I28" s="4" t="n">
        <v>60</v>
      </c>
      <c r="J28" s="6" t="n">
        <v>0.336521739130435</v>
      </c>
      <c r="K28" s="6" t="n">
        <v>0</v>
      </c>
      <c r="L28" s="4" t="s">
        <v>915</v>
      </c>
    </row>
    <row r="29" customFormat="false" ht="15" hidden="false" customHeight="false" outlineLevel="0" collapsed="false">
      <c r="A29" s="5" t="s">
        <v>959</v>
      </c>
      <c r="B29" s="4" t="s">
        <v>742</v>
      </c>
      <c r="C29" s="4" t="n">
        <v>1</v>
      </c>
      <c r="D29" s="6" t="n">
        <v>2.19</v>
      </c>
      <c r="E29" s="6" t="n">
        <f aca="false">C29*D29</f>
        <v>2.19</v>
      </c>
      <c r="F29" s="4" t="n">
        <v>260</v>
      </c>
      <c r="G29" s="4" t="n">
        <v>320</v>
      </c>
      <c r="H29" s="4" t="s">
        <v>69</v>
      </c>
      <c r="I29" s="4" t="n">
        <v>60</v>
      </c>
      <c r="J29" s="6" t="n">
        <v>0.2874375</v>
      </c>
      <c r="K29" s="6" t="n">
        <v>0.1231875</v>
      </c>
      <c r="L29" s="4" t="s">
        <v>953</v>
      </c>
    </row>
    <row r="30" customFormat="false" ht="15" hidden="false" customHeight="false" outlineLevel="0" collapsed="false">
      <c r="A30" s="5" t="s">
        <v>865</v>
      </c>
      <c r="B30" s="4" t="s">
        <v>742</v>
      </c>
      <c r="C30" s="4" t="n">
        <v>1</v>
      </c>
      <c r="D30" s="6" t="n">
        <v>1.29</v>
      </c>
      <c r="E30" s="6" t="n">
        <f aca="false">C30*D30</f>
        <v>1.29</v>
      </c>
      <c r="F30" s="4" t="n">
        <v>400</v>
      </c>
      <c r="G30" s="4" t="n">
        <v>400</v>
      </c>
      <c r="H30" s="4" t="s">
        <v>69</v>
      </c>
      <c r="I30" s="4" t="n">
        <v>0</v>
      </c>
      <c r="J30" s="6" t="n">
        <v>0</v>
      </c>
      <c r="K30" s="6" t="n">
        <v>0</v>
      </c>
      <c r="L30" s="4" t="s">
        <v>958</v>
      </c>
    </row>
    <row r="31" customFormat="false" ht="15" hidden="false" customHeight="false" outlineLevel="0" collapsed="false">
      <c r="A31" s="5" t="s">
        <v>916</v>
      </c>
      <c r="B31" s="4" t="s">
        <v>742</v>
      </c>
      <c r="C31" s="4" t="n">
        <v>1</v>
      </c>
      <c r="D31" s="6" t="n">
        <v>1.55</v>
      </c>
      <c r="E31" s="6" t="n">
        <f aca="false">C31*D31</f>
        <v>1.55</v>
      </c>
      <c r="F31" s="4" t="n">
        <v>220</v>
      </c>
      <c r="G31" s="4" t="n">
        <v>500</v>
      </c>
      <c r="H31" s="4" t="s">
        <v>69</v>
      </c>
      <c r="I31" s="4" t="n">
        <v>280</v>
      </c>
      <c r="J31" s="6" t="n">
        <v>0</v>
      </c>
      <c r="K31" s="6" t="n">
        <v>0.868</v>
      </c>
      <c r="L31" s="4" t="s">
        <v>917</v>
      </c>
    </row>
    <row r="32" customFormat="false" ht="15" hidden="false" customHeight="false" outlineLevel="0" collapsed="false">
      <c r="A32" s="5" t="s">
        <v>746</v>
      </c>
      <c r="B32" s="4" t="s">
        <v>742</v>
      </c>
      <c r="C32" s="4" t="n">
        <v>1</v>
      </c>
      <c r="D32" s="6" t="n">
        <v>0.75</v>
      </c>
      <c r="E32" s="6" t="n">
        <f aca="false">C32*D32</f>
        <v>0.75</v>
      </c>
      <c r="F32" s="4" t="n">
        <v>250</v>
      </c>
      <c r="G32" s="4" t="n">
        <v>500</v>
      </c>
      <c r="H32" s="4" t="s">
        <v>69</v>
      </c>
      <c r="I32" s="4" t="n">
        <v>250</v>
      </c>
      <c r="J32" s="6" t="n">
        <v>0</v>
      </c>
      <c r="K32" s="6" t="n">
        <v>0.375</v>
      </c>
      <c r="L32" s="4" t="s">
        <v>904</v>
      </c>
    </row>
    <row r="33" customFormat="false" ht="15" hidden="false" customHeight="false" outlineLevel="0" collapsed="false">
      <c r="A33" s="9" t="s">
        <v>748</v>
      </c>
      <c r="E33" s="17" t="n">
        <f aca="false">SUM(E16:E32)</f>
        <v>34.04</v>
      </c>
      <c r="J33" s="17" t="n">
        <f aca="false">SUM(J16:J32)</f>
        <v>4.66538257246377</v>
      </c>
      <c r="K33" s="17" t="n">
        <f aca="false">SUM(K16:K32)</f>
        <v>5.27496416666667</v>
      </c>
    </row>
    <row r="34" customFormat="false" ht="15" hidden="false" customHeight="false" outlineLevel="0" collapsed="false">
      <c r="A34" s="18" t="s">
        <v>43</v>
      </c>
      <c r="B34" s="18" t="s">
        <v>749</v>
      </c>
      <c r="C34" s="4" t="n">
        <v>1</v>
      </c>
      <c r="D34" s="6" t="n">
        <v>3.95</v>
      </c>
      <c r="E34" s="6" t="n">
        <f aca="false">C34*D34</f>
        <v>3.95</v>
      </c>
      <c r="L34" s="4" t="s">
        <v>750</v>
      </c>
    </row>
    <row r="35" customFormat="false" ht="15" hidden="false" customHeight="false" outlineLevel="0" collapsed="false">
      <c r="A35" s="18" t="s">
        <v>44</v>
      </c>
      <c r="B35" s="18" t="s">
        <v>749</v>
      </c>
      <c r="C35" s="4" t="n">
        <v>1</v>
      </c>
      <c r="D35" s="6" t="n">
        <v>3.09</v>
      </c>
      <c r="E35" s="6" t="n">
        <f aca="false">C35*D35</f>
        <v>3.09</v>
      </c>
      <c r="L35" s="4" t="s">
        <v>751</v>
      </c>
    </row>
    <row r="36" customFormat="false" ht="15" hidden="false" customHeight="false" outlineLevel="0" collapsed="false">
      <c r="A36" s="9" t="s">
        <v>752</v>
      </c>
      <c r="E36" s="17" t="n">
        <f aca="false">E33+E34+E35</f>
        <v>41.08</v>
      </c>
    </row>
    <row r="38" customFormat="false" ht="16.15" hidden="false" customHeight="false" outlineLevel="0" collapsed="false">
      <c r="A38" s="1" t="s">
        <v>753</v>
      </c>
    </row>
    <row r="39" customFormat="false" ht="26.85" hidden="false" customHeight="false" outlineLevel="0" collapsed="false">
      <c r="A39" s="3" t="s">
        <v>754</v>
      </c>
      <c r="B39" s="3" t="s">
        <v>708</v>
      </c>
      <c r="C39" s="3" t="s">
        <v>63</v>
      </c>
      <c r="D39" s="3" t="s">
        <v>755</v>
      </c>
      <c r="E39" s="3" t="s">
        <v>711</v>
      </c>
      <c r="F39" s="3" t="s">
        <v>756</v>
      </c>
      <c r="G39" s="3" t="s">
        <v>757</v>
      </c>
      <c r="H39" s="3" t="s">
        <v>64</v>
      </c>
      <c r="I39" s="3" t="s">
        <v>758</v>
      </c>
      <c r="J39" s="3"/>
      <c r="K39" s="3" t="s">
        <v>759</v>
      </c>
      <c r="L39" s="3" t="s">
        <v>717</v>
      </c>
    </row>
    <row r="40" customFormat="false" ht="15" hidden="false" customHeight="false" outlineLevel="0" collapsed="false">
      <c r="A40" s="19" t="s">
        <v>214</v>
      </c>
      <c r="B40" s="10" t="s">
        <v>760</v>
      </c>
      <c r="C40" s="4" t="n">
        <v>1</v>
      </c>
      <c r="D40" s="6" t="n">
        <v>1.29</v>
      </c>
      <c r="E40" s="6" t="n">
        <f aca="false">C40*D40</f>
        <v>1.29</v>
      </c>
      <c r="F40" s="4" t="n">
        <v>18</v>
      </c>
      <c r="G40" s="4" t="n">
        <v>55</v>
      </c>
      <c r="H40" s="4" t="s">
        <v>69</v>
      </c>
      <c r="I40" s="4" t="n">
        <v>37</v>
      </c>
      <c r="K40" s="6" t="n">
        <f aca="false">D40*I40/G40</f>
        <v>0.867818181818182</v>
      </c>
      <c r="L40" s="4" t="s">
        <v>960</v>
      </c>
    </row>
    <row r="41" customFormat="false" ht="15" hidden="false" customHeight="false" outlineLevel="0" collapsed="false">
      <c r="A41" s="19" t="s">
        <v>335</v>
      </c>
      <c r="B41" s="10" t="s">
        <v>760</v>
      </c>
      <c r="C41" s="4" t="n">
        <v>1</v>
      </c>
      <c r="D41" s="6" t="n">
        <v>1.8</v>
      </c>
      <c r="E41" s="6" t="n">
        <f aca="false">C41*D41</f>
        <v>1.8</v>
      </c>
      <c r="F41" s="4" t="n">
        <v>8</v>
      </c>
      <c r="G41" s="4" t="n">
        <v>12</v>
      </c>
      <c r="H41" s="4" t="s">
        <v>69</v>
      </c>
      <c r="I41" s="4" t="n">
        <v>4</v>
      </c>
      <c r="K41" s="6" t="n">
        <f aca="false">D41*I41/G41</f>
        <v>0.6</v>
      </c>
      <c r="L41" s="4" t="s">
        <v>961</v>
      </c>
    </row>
    <row r="42" customFormat="false" ht="15" hidden="false" customHeight="false" outlineLevel="0" collapsed="false">
      <c r="A42" s="19" t="s">
        <v>308</v>
      </c>
      <c r="B42" s="10" t="s">
        <v>760</v>
      </c>
      <c r="C42" s="4" t="n">
        <v>1</v>
      </c>
      <c r="D42" s="6" t="n">
        <v>2.45</v>
      </c>
      <c r="E42" s="6" t="n">
        <f aca="false">C42*D42</f>
        <v>2.45</v>
      </c>
      <c r="F42" s="4" t="n">
        <v>10</v>
      </c>
      <c r="G42" s="4" t="n">
        <v>250</v>
      </c>
      <c r="H42" s="4" t="s">
        <v>69</v>
      </c>
      <c r="I42" s="4" t="n">
        <v>240</v>
      </c>
      <c r="K42" s="6" t="n">
        <f aca="false">D42*I42/G42</f>
        <v>2.352</v>
      </c>
      <c r="L42" s="4" t="s">
        <v>912</v>
      </c>
    </row>
    <row r="43" customFormat="false" ht="15" hidden="false" customHeight="false" outlineLevel="0" collapsed="false">
      <c r="A43" s="19" t="s">
        <v>221</v>
      </c>
      <c r="B43" s="10" t="s">
        <v>760</v>
      </c>
      <c r="C43" s="4" t="n">
        <v>1</v>
      </c>
      <c r="D43" s="6" t="n">
        <v>1.79</v>
      </c>
      <c r="E43" s="6" t="n">
        <f aca="false">C43*D43</f>
        <v>1.79</v>
      </c>
      <c r="F43" s="4" t="n">
        <v>10</v>
      </c>
      <c r="G43" s="4" t="n">
        <v>180</v>
      </c>
      <c r="H43" s="4" t="s">
        <v>69</v>
      </c>
      <c r="I43" s="4" t="n">
        <v>170</v>
      </c>
      <c r="K43" s="6" t="n">
        <f aca="false">D43*I43/G43</f>
        <v>1.69055555555556</v>
      </c>
      <c r="L43" s="4" t="s">
        <v>917</v>
      </c>
    </row>
    <row r="44" customFormat="false" ht="15" hidden="false" customHeight="false" outlineLevel="0" collapsed="false">
      <c r="A44" s="19" t="s">
        <v>333</v>
      </c>
      <c r="B44" s="10" t="s">
        <v>760</v>
      </c>
      <c r="C44" s="4" t="n">
        <v>1</v>
      </c>
      <c r="D44" s="6" t="n">
        <v>1.99</v>
      </c>
      <c r="E44" s="6" t="n">
        <f aca="false">C44*D44</f>
        <v>1.99</v>
      </c>
      <c r="F44" s="4" t="n">
        <v>3</v>
      </c>
      <c r="G44" s="4" t="n">
        <v>30</v>
      </c>
      <c r="H44" s="4" t="s">
        <v>69</v>
      </c>
      <c r="I44" s="4" t="n">
        <v>27</v>
      </c>
      <c r="K44" s="6" t="n">
        <f aca="false">D44*I44/G44</f>
        <v>1.791</v>
      </c>
      <c r="L44" s="4" t="s">
        <v>958</v>
      </c>
    </row>
    <row r="45" customFormat="false" ht="15" hidden="false" customHeight="false" outlineLevel="0" collapsed="false">
      <c r="A45" s="19" t="s">
        <v>87</v>
      </c>
      <c r="B45" s="10" t="s">
        <v>760</v>
      </c>
      <c r="C45" s="4" t="n">
        <v>1</v>
      </c>
      <c r="D45" s="6" t="n">
        <v>0.95</v>
      </c>
      <c r="E45" s="6" t="n">
        <f aca="false">C45*D45</f>
        <v>0.95</v>
      </c>
      <c r="F45" s="4" t="n">
        <v>4</v>
      </c>
      <c r="G45" s="4" t="n">
        <v>1000</v>
      </c>
      <c r="H45" s="4" t="s">
        <v>69</v>
      </c>
      <c r="I45" s="4" t="n">
        <v>996</v>
      </c>
      <c r="K45" s="6" t="n">
        <f aca="false">D45*I45/G45</f>
        <v>0.9462</v>
      </c>
      <c r="L45" s="4" t="s">
        <v>912</v>
      </c>
    </row>
    <row r="46" customFormat="false" ht="15" hidden="false" customHeight="false" outlineLevel="0" collapsed="false">
      <c r="A46" s="19" t="s">
        <v>90</v>
      </c>
      <c r="B46" s="10" t="s">
        <v>760</v>
      </c>
      <c r="C46" s="4" t="n">
        <v>1</v>
      </c>
      <c r="D46" s="6" t="n">
        <v>2.15</v>
      </c>
      <c r="E46" s="6" t="n">
        <f aca="false">C46*D46</f>
        <v>2.15</v>
      </c>
      <c r="F46" s="4" t="n">
        <v>82</v>
      </c>
      <c r="G46" s="4" t="n">
        <v>1000</v>
      </c>
      <c r="H46" s="4" t="s">
        <v>74</v>
      </c>
      <c r="I46" s="4" t="n">
        <v>918</v>
      </c>
      <c r="K46" s="6" t="n">
        <f aca="false">D46*I46/G46</f>
        <v>1.9737</v>
      </c>
      <c r="L46" s="4" t="s">
        <v>957</v>
      </c>
    </row>
    <row r="47" customFormat="false" ht="15" hidden="false" customHeight="false" outlineLevel="0" collapsed="false">
      <c r="A47" s="19" t="s">
        <v>340</v>
      </c>
      <c r="B47" s="10" t="s">
        <v>760</v>
      </c>
      <c r="C47" s="4" t="n">
        <v>1</v>
      </c>
      <c r="D47" s="6" t="n">
        <v>1.99</v>
      </c>
      <c r="E47" s="6" t="n">
        <f aca="false">C47*D47</f>
        <v>1.99</v>
      </c>
      <c r="F47" s="4" t="n">
        <v>1</v>
      </c>
      <c r="G47" s="4" t="n">
        <v>5</v>
      </c>
      <c r="H47" s="4" t="s">
        <v>69</v>
      </c>
      <c r="I47" s="4" t="n">
        <v>4</v>
      </c>
      <c r="K47" s="6" t="n">
        <f aca="false">D47*I47/G47</f>
        <v>1.592</v>
      </c>
      <c r="L47" s="4" t="s">
        <v>956</v>
      </c>
    </row>
    <row r="48" customFormat="false" ht="15" hidden="false" customHeight="false" outlineLevel="0" collapsed="false">
      <c r="A48" s="19" t="s">
        <v>304</v>
      </c>
      <c r="B48" s="10" t="s">
        <v>760</v>
      </c>
      <c r="C48" s="4" t="n">
        <v>1</v>
      </c>
      <c r="D48" s="6" t="n">
        <v>1.85</v>
      </c>
      <c r="E48" s="6" t="n">
        <f aca="false">C48*D48</f>
        <v>1.85</v>
      </c>
      <c r="F48" s="4" t="n">
        <v>6</v>
      </c>
      <c r="G48" s="4" t="n">
        <v>430</v>
      </c>
      <c r="H48" s="4" t="s">
        <v>69</v>
      </c>
      <c r="I48" s="4" t="n">
        <v>424</v>
      </c>
      <c r="K48" s="6" t="n">
        <f aca="false">D48*I48/G48</f>
        <v>1.82418604651163</v>
      </c>
      <c r="L48" s="4" t="s">
        <v>912</v>
      </c>
    </row>
    <row r="49" customFormat="false" ht="15" hidden="false" customHeight="false" outlineLevel="0" collapsed="false">
      <c r="A49" s="19" t="s">
        <v>505</v>
      </c>
      <c r="B49" s="10" t="s">
        <v>760</v>
      </c>
      <c r="C49" s="4" t="n">
        <v>1</v>
      </c>
      <c r="D49" s="6" t="n">
        <v>1.89</v>
      </c>
      <c r="E49" s="6" t="n">
        <f aca="false">C49*D49</f>
        <v>1.89</v>
      </c>
      <c r="F49" s="4" t="n">
        <v>1</v>
      </c>
      <c r="G49" s="4" t="n">
        <v>12</v>
      </c>
      <c r="H49" s="4" t="s">
        <v>69</v>
      </c>
      <c r="I49" s="4" t="n">
        <v>11</v>
      </c>
      <c r="K49" s="6" t="n">
        <f aca="false">D49*I49/G49</f>
        <v>1.7325</v>
      </c>
      <c r="L49" s="4" t="s">
        <v>953</v>
      </c>
    </row>
    <row r="50" customFormat="false" ht="15" hidden="false" customHeight="false" outlineLevel="0" collapsed="false">
      <c r="A50" s="19" t="s">
        <v>331</v>
      </c>
      <c r="B50" s="10" t="s">
        <v>760</v>
      </c>
      <c r="C50" s="4" t="n">
        <v>1</v>
      </c>
      <c r="D50" s="6" t="n">
        <v>1.99</v>
      </c>
      <c r="E50" s="6" t="n">
        <f aca="false">C50*D50</f>
        <v>1.99</v>
      </c>
      <c r="F50" s="4" t="n">
        <v>2</v>
      </c>
      <c r="G50" s="4" t="n">
        <v>40</v>
      </c>
      <c r="H50" s="4" t="s">
        <v>69</v>
      </c>
      <c r="I50" s="4" t="n">
        <v>38</v>
      </c>
      <c r="K50" s="6" t="n">
        <f aca="false">D50*I50/G50</f>
        <v>1.8905</v>
      </c>
      <c r="L50" s="4" t="s">
        <v>956</v>
      </c>
    </row>
    <row r="51" customFormat="false" ht="15" hidden="false" customHeight="false" outlineLevel="0" collapsed="false">
      <c r="A51" s="19" t="s">
        <v>178</v>
      </c>
      <c r="B51" s="10" t="s">
        <v>760</v>
      </c>
      <c r="C51" s="4" t="n">
        <v>1</v>
      </c>
      <c r="D51" s="6" t="n">
        <v>1.9</v>
      </c>
      <c r="E51" s="6" t="n">
        <f aca="false">C51*D51</f>
        <v>1.9</v>
      </c>
      <c r="F51" s="4" t="n">
        <v>2</v>
      </c>
      <c r="G51" s="4" t="n">
        <v>20</v>
      </c>
      <c r="H51" s="4" t="s">
        <v>69</v>
      </c>
      <c r="I51" s="4" t="n">
        <v>18</v>
      </c>
      <c r="K51" s="6" t="n">
        <f aca="false">D51*I51/G51</f>
        <v>1.71</v>
      </c>
      <c r="L51" s="4" t="s">
        <v>956</v>
      </c>
    </row>
    <row r="52" customFormat="false" ht="15" hidden="false" customHeight="false" outlineLevel="0" collapsed="false">
      <c r="A52" s="19" t="s">
        <v>97</v>
      </c>
      <c r="B52" s="10" t="s">
        <v>760</v>
      </c>
      <c r="C52" s="4" t="n">
        <v>1</v>
      </c>
      <c r="D52" s="6" t="n">
        <v>0.5</v>
      </c>
      <c r="E52" s="6" t="n">
        <f aca="false">C52*D52</f>
        <v>0.5</v>
      </c>
      <c r="F52" s="4" t="n">
        <v>12</v>
      </c>
      <c r="G52" s="4" t="n">
        <v>100</v>
      </c>
      <c r="H52" s="4" t="s">
        <v>69</v>
      </c>
      <c r="I52" s="4" t="n">
        <v>88</v>
      </c>
      <c r="K52" s="6" t="n">
        <f aca="false">D52*I52/G52</f>
        <v>0.44</v>
      </c>
      <c r="L52" s="4" t="s">
        <v>957</v>
      </c>
    </row>
    <row r="53" customFormat="false" ht="15" hidden="false" customHeight="false" outlineLevel="0" collapsed="false">
      <c r="A53" s="19" t="s">
        <v>506</v>
      </c>
      <c r="B53" s="10" t="s">
        <v>760</v>
      </c>
      <c r="C53" s="4" t="n">
        <v>1</v>
      </c>
      <c r="D53" s="6" t="n">
        <v>1.09</v>
      </c>
      <c r="E53" s="6" t="n">
        <f aca="false">C53*D53</f>
        <v>1.09</v>
      </c>
      <c r="F53" s="4" t="n">
        <v>1</v>
      </c>
      <c r="G53" s="4" t="n">
        <v>1000</v>
      </c>
      <c r="H53" s="4" t="s">
        <v>69</v>
      </c>
      <c r="I53" s="4" t="n">
        <v>999</v>
      </c>
      <c r="K53" s="6" t="n">
        <f aca="false">D53*I53/G53</f>
        <v>1.08891</v>
      </c>
      <c r="L53" s="4" t="s">
        <v>953</v>
      </c>
    </row>
    <row r="54" customFormat="false" ht="15" hidden="false" customHeight="false" outlineLevel="0" collapsed="false">
      <c r="A54" s="19" t="s">
        <v>337</v>
      </c>
      <c r="B54" s="10" t="s">
        <v>760</v>
      </c>
      <c r="C54" s="4" t="n">
        <v>1</v>
      </c>
      <c r="D54" s="6" t="n">
        <v>1.99</v>
      </c>
      <c r="E54" s="6" t="n">
        <f aca="false">C54*D54</f>
        <v>1.99</v>
      </c>
      <c r="F54" s="4" t="n">
        <v>1</v>
      </c>
      <c r="G54" s="4" t="n">
        <v>15</v>
      </c>
      <c r="H54" s="4" t="s">
        <v>69</v>
      </c>
      <c r="I54" s="4" t="n">
        <v>14</v>
      </c>
      <c r="K54" s="6" t="n">
        <f aca="false">D54*I54/G54</f>
        <v>1.85733333333333</v>
      </c>
      <c r="L54" s="4" t="s">
        <v>956</v>
      </c>
    </row>
    <row r="55" customFormat="false" ht="15" hidden="false" customHeight="false" outlineLevel="0" collapsed="false">
      <c r="A55" s="9" t="s">
        <v>764</v>
      </c>
      <c r="E55" s="17" t="n">
        <f aca="false">SUM(E40:E54)</f>
        <v>25.62</v>
      </c>
    </row>
    <row r="57" customFormat="false" ht="16.15" hidden="false" customHeight="false" outlineLevel="0" collapsed="false">
      <c r="A57" s="1" t="s">
        <v>765</v>
      </c>
    </row>
    <row r="58" customFormat="false" ht="15" hidden="false" customHeight="false" outlineLevel="0" collapsed="false">
      <c r="A58" s="4" t="s">
        <v>766</v>
      </c>
      <c r="E58" s="6" t="n">
        <f aca="false">E36</f>
        <v>41.08</v>
      </c>
    </row>
    <row r="59" customFormat="false" ht="15" hidden="false" customHeight="false" outlineLevel="0" collapsed="false">
      <c r="A59" s="4" t="s">
        <v>767</v>
      </c>
      <c r="E59" s="6" t="n">
        <f aca="false">E55</f>
        <v>25.62</v>
      </c>
    </row>
    <row r="60" customFormat="false" ht="15" hidden="false" customHeight="false" outlineLevel="0" collapsed="false">
      <c r="A60" s="9" t="s">
        <v>768</v>
      </c>
      <c r="E60" s="17" t="n">
        <f aca="false">E36+E55</f>
        <v>66.7</v>
      </c>
    </row>
    <row r="61" customFormat="false" ht="15" hidden="false" customHeight="false" outlineLevel="0" collapsed="false">
      <c r="A61" s="4" t="s">
        <v>769</v>
      </c>
      <c r="E61" s="6" t="n">
        <v>55</v>
      </c>
    </row>
    <row r="62" customFormat="false" ht="15" hidden="false" customHeight="false" outlineLevel="0" collapsed="false">
      <c r="A62" s="4" t="s">
        <v>770</v>
      </c>
      <c r="E62" s="6" t="n">
        <f aca="false">E61-E60</f>
        <v>-11.7</v>
      </c>
    </row>
    <row r="63" customFormat="false" ht="15" hidden="false" customHeight="false" outlineLevel="0" collapsed="false">
      <c r="A63" s="4" t="s">
        <v>771</v>
      </c>
      <c r="E63" s="6" t="n">
        <f aca="false">J33</f>
        <v>4.66538257246377</v>
      </c>
    </row>
    <row r="64" customFormat="false" ht="15" hidden="false" customHeight="false" outlineLevel="0" collapsed="false">
      <c r="A64" s="4" t="s">
        <v>772</v>
      </c>
      <c r="E64" s="20" t="n">
        <f aca="false">J33/E36</f>
        <v>0.113568222309245</v>
      </c>
    </row>
    <row r="65" customFormat="false" ht="15" hidden="false" customHeight="false" outlineLevel="0" collapsed="false">
      <c r="A65" s="4" t="s">
        <v>773</v>
      </c>
      <c r="E65" s="6" t="n">
        <f aca="false">K33</f>
        <v>5.27496416666667</v>
      </c>
    </row>
    <row r="66" customFormat="false" ht="15" hidden="false" customHeight="false" outlineLevel="0" collapsed="false">
      <c r="A66" s="4" t="s">
        <v>774</v>
      </c>
      <c r="E66" s="6" t="n">
        <f aca="false">(E36+E55)/14</f>
        <v>4.76428571428571</v>
      </c>
    </row>
    <row r="67" customFormat="false" ht="15" hidden="false" customHeight="false" outlineLevel="0" collapsed="false">
      <c r="A67" s="4" t="s">
        <v>775</v>
      </c>
      <c r="E67" s="6" t="n">
        <f aca="false">E36</f>
        <v>41.08</v>
      </c>
    </row>
    <row r="70" customFormat="false" ht="16.15" hidden="false" customHeight="false" outlineLevel="0" collapsed="false">
      <c r="A70" s="1" t="s">
        <v>776</v>
      </c>
    </row>
    <row r="71" customFormat="false" ht="15" hidden="false" customHeight="false" outlineLevel="0" collapsed="false">
      <c r="A71" s="21" t="s">
        <v>962</v>
      </c>
    </row>
    <row r="72" customFormat="false" ht="45" hidden="false" customHeight="true" outlineLevel="0" collapsed="false">
      <c r="A72" s="9" t="s">
        <v>62</v>
      </c>
      <c r="B72" s="5" t="s">
        <v>963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30" hidden="false" customHeight="true" outlineLevel="0" collapsed="false">
      <c r="A73" s="4" t="s">
        <v>779</v>
      </c>
      <c r="B73" s="5" t="s">
        <v>346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8" hidden="false" customHeight="true" outlineLevel="0" collapsed="false">
      <c r="A74" s="4" t="s">
        <v>780</v>
      </c>
      <c r="B74" s="5" t="s">
        <v>347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781</v>
      </c>
      <c r="B75" s="5" t="s">
        <v>348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30" hidden="false" customHeight="true" outlineLevel="0" collapsed="false">
      <c r="A76" s="4" t="s">
        <v>782</v>
      </c>
      <c r="B76" s="5" t="s">
        <v>349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783</v>
      </c>
      <c r="B77" s="5" t="s">
        <v>350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784</v>
      </c>
      <c r="B78" s="5" t="s">
        <v>351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785</v>
      </c>
      <c r="B79" s="5" t="s">
        <v>352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839</v>
      </c>
      <c r="B80" s="5" t="s">
        <v>353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2" customFormat="false" ht="15" hidden="false" customHeight="false" outlineLevel="0" collapsed="false">
      <c r="A82" s="21" t="s">
        <v>964</v>
      </c>
    </row>
    <row r="83" customFormat="false" ht="45" hidden="false" customHeight="true" outlineLevel="0" collapsed="false">
      <c r="A83" s="9" t="s">
        <v>62</v>
      </c>
      <c r="B83" s="5" t="s">
        <v>922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30" hidden="false" customHeight="true" outlineLevel="0" collapsed="false">
      <c r="A84" s="4" t="s">
        <v>779</v>
      </c>
      <c r="B84" s="5" t="s">
        <v>388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30" hidden="false" customHeight="true" outlineLevel="0" collapsed="false">
      <c r="A85" s="4" t="s">
        <v>780</v>
      </c>
      <c r="B85" s="5" t="s">
        <v>389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4" t="s">
        <v>781</v>
      </c>
      <c r="B86" s="5" t="s">
        <v>390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782</v>
      </c>
      <c r="B87" s="5" t="s">
        <v>391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30" hidden="false" customHeight="true" outlineLevel="0" collapsed="false">
      <c r="A88" s="4" t="s">
        <v>783</v>
      </c>
      <c r="B88" s="5" t="s">
        <v>392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784</v>
      </c>
      <c r="B89" s="5" t="s">
        <v>393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4" t="s">
        <v>785</v>
      </c>
      <c r="B90" s="5" t="s">
        <v>394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1" customFormat="false" ht="18" hidden="false" customHeight="true" outlineLevel="0" collapsed="false">
      <c r="A91" s="4" t="s">
        <v>839</v>
      </c>
      <c r="B91" s="5" t="s">
        <v>395</v>
      </c>
      <c r="C91" s="5"/>
      <c r="D91" s="5"/>
      <c r="E91" s="5"/>
      <c r="F91" s="5"/>
      <c r="G91" s="5"/>
      <c r="H91" s="5"/>
      <c r="I91" s="5"/>
      <c r="J91" s="5"/>
      <c r="K91" s="5"/>
      <c r="L91" s="5"/>
    </row>
    <row r="93" customFormat="false" ht="15" hidden="false" customHeight="false" outlineLevel="0" collapsed="false">
      <c r="A93" s="21" t="s">
        <v>965</v>
      </c>
    </row>
    <row r="94" customFormat="false" ht="30" hidden="false" customHeight="true" outlineLevel="0" collapsed="false">
      <c r="A94" s="9" t="s">
        <v>62</v>
      </c>
      <c r="B94" s="5" t="s">
        <v>966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18" hidden="false" customHeight="true" outlineLevel="0" collapsed="false">
      <c r="A95" s="4" t="s">
        <v>779</v>
      </c>
      <c r="B95" s="5" t="s">
        <v>507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780</v>
      </c>
      <c r="B96" s="5" t="s">
        <v>508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30" hidden="false" customHeight="true" outlineLevel="0" collapsed="false">
      <c r="A97" s="4" t="s">
        <v>781</v>
      </c>
      <c r="B97" s="5" t="s">
        <v>509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30" hidden="false" customHeight="true" outlineLevel="0" collapsed="false">
      <c r="A98" s="4" t="s">
        <v>782</v>
      </c>
      <c r="B98" s="5" t="s">
        <v>510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783</v>
      </c>
      <c r="B99" s="5" t="s">
        <v>511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18" hidden="false" customHeight="true" outlineLevel="0" collapsed="false">
      <c r="A100" s="4" t="s">
        <v>784</v>
      </c>
      <c r="B100" s="5" t="s">
        <v>512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customFormat="false" ht="30" hidden="false" customHeight="true" outlineLevel="0" collapsed="false">
      <c r="A101" s="4" t="s">
        <v>785</v>
      </c>
      <c r="B101" s="5" t="s">
        <v>513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3" customFormat="false" ht="15" hidden="false" customHeight="false" outlineLevel="0" collapsed="false">
      <c r="A103" s="21" t="s">
        <v>924</v>
      </c>
    </row>
    <row r="104" customFormat="false" ht="30" hidden="false" customHeight="true" outlineLevel="0" collapsed="false">
      <c r="A104" s="9" t="s">
        <v>62</v>
      </c>
      <c r="B104" s="5" t="s">
        <v>925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779</v>
      </c>
      <c r="B105" s="5" t="s">
        <v>411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780</v>
      </c>
      <c r="B106" s="5" t="s">
        <v>412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30" hidden="false" customHeight="true" outlineLevel="0" collapsed="false">
      <c r="A107" s="4" t="s">
        <v>781</v>
      </c>
      <c r="B107" s="5" t="s">
        <v>413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30" hidden="false" customHeight="true" outlineLevel="0" collapsed="false">
      <c r="A108" s="4" t="s">
        <v>782</v>
      </c>
      <c r="B108" s="5" t="s">
        <v>414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30" hidden="false" customHeight="true" outlineLevel="0" collapsed="false">
      <c r="A109" s="4" t="s">
        <v>783</v>
      </c>
      <c r="B109" s="5" t="s">
        <v>415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18" hidden="false" customHeight="true" outlineLevel="0" collapsed="false">
      <c r="A110" s="4" t="s">
        <v>784</v>
      </c>
      <c r="B110" s="5" t="s">
        <v>416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customFormat="false" ht="18" hidden="false" customHeight="true" outlineLevel="0" collapsed="false">
      <c r="A111" s="4" t="s">
        <v>785</v>
      </c>
      <c r="B111" s="5" t="s">
        <v>417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customFormat="false" ht="18" hidden="false" customHeight="true" outlineLevel="0" collapsed="false">
      <c r="A112" s="4" t="s">
        <v>839</v>
      </c>
      <c r="B112" s="5" t="s">
        <v>418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4" customFormat="false" ht="15" hidden="false" customHeight="false" outlineLevel="0" collapsed="false">
      <c r="A114" s="21" t="s">
        <v>926</v>
      </c>
    </row>
    <row r="115" customFormat="false" ht="30" hidden="false" customHeight="true" outlineLevel="0" collapsed="false">
      <c r="A115" s="9" t="s">
        <v>62</v>
      </c>
      <c r="B115" s="5" t="s">
        <v>927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customFormat="false" ht="18" hidden="false" customHeight="true" outlineLevel="0" collapsed="false">
      <c r="A116" s="4" t="s">
        <v>779</v>
      </c>
      <c r="B116" s="5" t="s">
        <v>545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customFormat="false" ht="30" hidden="false" customHeight="true" outlineLevel="0" collapsed="false">
      <c r="A117" s="4" t="s">
        <v>780</v>
      </c>
      <c r="B117" s="5" t="s">
        <v>546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customFormat="false" ht="30" hidden="false" customHeight="true" outlineLevel="0" collapsed="false">
      <c r="A118" s="4" t="s">
        <v>781</v>
      </c>
      <c r="B118" s="5" t="s">
        <v>547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customFormat="false" ht="30" hidden="false" customHeight="true" outlineLevel="0" collapsed="false">
      <c r="A119" s="4" t="s">
        <v>782</v>
      </c>
      <c r="B119" s="5" t="s">
        <v>548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customFormat="false" ht="18" hidden="false" customHeight="true" outlineLevel="0" collapsed="false">
      <c r="A120" s="4" t="s">
        <v>783</v>
      </c>
      <c r="B120" s="5" t="s">
        <v>549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</row>
  </sheetData>
  <mergeCells count="41">
    <mergeCell ref="B72:L72"/>
    <mergeCell ref="B73:L73"/>
    <mergeCell ref="B74:L74"/>
    <mergeCell ref="B75:L75"/>
    <mergeCell ref="B76:L76"/>
    <mergeCell ref="B77:L77"/>
    <mergeCell ref="B78:L78"/>
    <mergeCell ref="B79:L79"/>
    <mergeCell ref="B80:L80"/>
    <mergeCell ref="B83:L83"/>
    <mergeCell ref="B84:L84"/>
    <mergeCell ref="B85:L85"/>
    <mergeCell ref="B86:L86"/>
    <mergeCell ref="B87:L87"/>
    <mergeCell ref="B88:L88"/>
    <mergeCell ref="B89:L89"/>
    <mergeCell ref="B90:L90"/>
    <mergeCell ref="B91:L91"/>
    <mergeCell ref="B94:L94"/>
    <mergeCell ref="B95:L95"/>
    <mergeCell ref="B96:L96"/>
    <mergeCell ref="B97:L97"/>
    <mergeCell ref="B98:L98"/>
    <mergeCell ref="B99:L99"/>
    <mergeCell ref="B100:L100"/>
    <mergeCell ref="B101:L101"/>
    <mergeCell ref="B104:L104"/>
    <mergeCell ref="B105:L105"/>
    <mergeCell ref="B106:L106"/>
    <mergeCell ref="B107:L107"/>
    <mergeCell ref="B108:L108"/>
    <mergeCell ref="B109:L109"/>
    <mergeCell ref="B110:L110"/>
    <mergeCell ref="B111:L111"/>
    <mergeCell ref="B112:L112"/>
    <mergeCell ref="B115:L115"/>
    <mergeCell ref="B116:L116"/>
    <mergeCell ref="B117:L117"/>
    <mergeCell ref="B118:L118"/>
    <mergeCell ref="B119:L119"/>
    <mergeCell ref="B120:L1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967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968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156</v>
      </c>
      <c r="D6" s="4" t="n">
        <f aca="false">ROUND(Nutrition!H58,0)</f>
        <v>737</v>
      </c>
      <c r="E6" s="5" t="s">
        <v>694</v>
      </c>
      <c r="F6" s="5" t="s">
        <v>160</v>
      </c>
      <c r="G6" s="4" t="str">
        <f aca="false">ROUND(Nutrition!I58,0)&amp;" / "&amp;ROUND(Nutrition!J58,0)&amp;" / "&amp;ROUND(Nutrition!K58,0)</f>
        <v>40 / 58 / 39</v>
      </c>
    </row>
    <row r="7" customFormat="false" ht="31.5" hidden="false" customHeight="true" outlineLevel="0" collapsed="false">
      <c r="A7" s="4" t="s">
        <v>686</v>
      </c>
      <c r="B7" s="5" t="s">
        <v>969</v>
      </c>
      <c r="C7" s="16" t="s">
        <v>110</v>
      </c>
      <c r="D7" s="4" t="n">
        <f aca="false">ROUND(Nutrition!H29,0)</f>
        <v>826</v>
      </c>
      <c r="E7" s="5" t="s">
        <v>798</v>
      </c>
      <c r="F7" s="5"/>
      <c r="G7" s="4" t="str">
        <f aca="false">ROUND(Nutrition!I29,0)&amp;" / "&amp;ROUND(Nutrition!J29,0)&amp;" / "&amp;ROUND(Nutrition!K29,0)</f>
        <v>29 / 87 / 41</v>
      </c>
    </row>
    <row r="8" customFormat="false" ht="31.5" hidden="false" customHeight="true" outlineLevel="0" collapsed="false">
      <c r="A8" s="4" t="s">
        <v>689</v>
      </c>
      <c r="B8" s="5" t="s">
        <v>799</v>
      </c>
      <c r="C8" s="16" t="s">
        <v>259</v>
      </c>
      <c r="D8" s="4" t="n">
        <f aca="false">ROUND(Nutrition!H119,0)</f>
        <v>941</v>
      </c>
      <c r="E8" s="5" t="s">
        <v>691</v>
      </c>
      <c r="F8" s="5"/>
      <c r="G8" s="4" t="str">
        <f aca="false">ROUND(Nutrition!I119,0)&amp;" / "&amp;ROUND(Nutrition!J119,0)&amp;" / "&amp;ROUND(Nutrition!K119,0)</f>
        <v>51 / 97 / 38</v>
      </c>
    </row>
    <row r="9" customFormat="false" ht="31.5" hidden="false" customHeight="true" outlineLevel="0" collapsed="false">
      <c r="A9" s="4" t="s">
        <v>692</v>
      </c>
      <c r="B9" s="5" t="s">
        <v>930</v>
      </c>
      <c r="C9" s="16" t="s">
        <v>592</v>
      </c>
      <c r="D9" s="4" t="n">
        <f aca="false">ROUND(Nutrition!H369,0)</f>
        <v>1050</v>
      </c>
      <c r="E9" s="5" t="s">
        <v>847</v>
      </c>
      <c r="F9" s="5" t="s">
        <v>596</v>
      </c>
      <c r="G9" s="4" t="str">
        <f aca="false">ROUND(Nutrition!I369,0)&amp;" / "&amp;ROUND(Nutrition!J369,0)&amp;" / "&amp;ROUND(Nutrition!K369,0)</f>
        <v>46 / 99 / 50</v>
      </c>
    </row>
    <row r="10" customFormat="false" ht="31.5" hidden="false" customHeight="true" outlineLevel="0" collapsed="false">
      <c r="A10" s="4" t="s">
        <v>695</v>
      </c>
      <c r="B10" s="5" t="s">
        <v>848</v>
      </c>
      <c r="C10" s="16" t="s">
        <v>233</v>
      </c>
      <c r="D10" s="4" t="n">
        <f aca="false">ROUND(Nutrition!H105,0)</f>
        <v>959</v>
      </c>
      <c r="E10" s="5" t="s">
        <v>800</v>
      </c>
      <c r="F10" s="5" t="s">
        <v>237</v>
      </c>
      <c r="G10" s="4" t="str">
        <f aca="false">ROUND(Nutrition!I105,0)&amp;" / "&amp;ROUND(Nutrition!J105,0)&amp;" / "&amp;ROUND(Nutrition!K105,0)</f>
        <v>37 / 45 / 69</v>
      </c>
    </row>
    <row r="11" customFormat="false" ht="52.2" hidden="false" customHeight="false" outlineLevel="0" collapsed="false">
      <c r="A11" s="4" t="s">
        <v>698</v>
      </c>
      <c r="B11" s="5" t="s">
        <v>851</v>
      </c>
      <c r="C11" s="4" t="s">
        <v>970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970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718</v>
      </c>
      <c r="B16" s="4" t="s">
        <v>719</v>
      </c>
      <c r="C16" s="4" t="n">
        <v>1</v>
      </c>
      <c r="D16" s="6" t="n">
        <v>1.85</v>
      </c>
      <c r="E16" s="6" t="n">
        <f aca="false">C16*D16</f>
        <v>1.85</v>
      </c>
      <c r="F16" s="4" t="n">
        <v>100</v>
      </c>
      <c r="G16" s="4" t="n">
        <v>120</v>
      </c>
      <c r="H16" s="4" t="s">
        <v>69</v>
      </c>
      <c r="I16" s="4" t="n">
        <v>20</v>
      </c>
      <c r="J16" s="6" t="n">
        <v>0.0925</v>
      </c>
      <c r="K16" s="6" t="n">
        <v>0.215833333333333</v>
      </c>
      <c r="L16" s="4" t="s">
        <v>853</v>
      </c>
    </row>
    <row r="17" customFormat="false" ht="15" hidden="false" customHeight="false" outlineLevel="0" collapsed="false">
      <c r="A17" s="5" t="s">
        <v>721</v>
      </c>
      <c r="B17" s="4" t="s">
        <v>719</v>
      </c>
      <c r="C17" s="4" t="n">
        <v>1</v>
      </c>
      <c r="D17" s="6" t="n">
        <v>2.09</v>
      </c>
      <c r="E17" s="6" t="n">
        <f aca="false">C17*D17</f>
        <v>2.09</v>
      </c>
      <c r="F17" s="4" t="n">
        <v>120</v>
      </c>
      <c r="G17" s="4" t="n">
        <v>200</v>
      </c>
      <c r="H17" s="4" t="s">
        <v>69</v>
      </c>
      <c r="I17" s="4" t="n">
        <v>80</v>
      </c>
      <c r="J17" s="6" t="n">
        <v>0.418</v>
      </c>
      <c r="K17" s="6" t="n">
        <v>0.418</v>
      </c>
      <c r="L17" s="4" t="s">
        <v>808</v>
      </c>
    </row>
    <row r="18" customFormat="false" ht="15" hidden="false" customHeight="false" outlineLevel="0" collapsed="false">
      <c r="A18" s="5" t="s">
        <v>725</v>
      </c>
      <c r="B18" s="4" t="s">
        <v>726</v>
      </c>
      <c r="C18" s="4" t="n">
        <v>1</v>
      </c>
      <c r="D18" s="6" t="n">
        <v>0.75</v>
      </c>
      <c r="E18" s="6" t="n">
        <f aca="false">C18*D18</f>
        <v>0.75</v>
      </c>
      <c r="F18" s="4" t="n">
        <v>130</v>
      </c>
      <c r="G18" s="4" t="n">
        <v>200</v>
      </c>
      <c r="H18" s="4" t="s">
        <v>74</v>
      </c>
      <c r="I18" s="4" t="n">
        <v>70</v>
      </c>
      <c r="J18" s="6" t="n">
        <v>0.07875</v>
      </c>
      <c r="K18" s="6" t="n">
        <v>0.18375</v>
      </c>
      <c r="L18" s="4" t="s">
        <v>971</v>
      </c>
    </row>
    <row r="19" customFormat="false" ht="15" hidden="false" customHeight="false" outlineLevel="0" collapsed="false">
      <c r="A19" s="5" t="s">
        <v>728</v>
      </c>
      <c r="B19" s="4" t="s">
        <v>726</v>
      </c>
      <c r="C19" s="4" t="n">
        <v>1</v>
      </c>
      <c r="D19" s="6" t="n">
        <v>0.69</v>
      </c>
      <c r="E19" s="6" t="n">
        <f aca="false">C19*D19</f>
        <v>0.69</v>
      </c>
      <c r="F19" s="4" t="n">
        <v>200</v>
      </c>
      <c r="G19" s="4" t="n">
        <v>200</v>
      </c>
      <c r="H19" s="4" t="s">
        <v>74</v>
      </c>
      <c r="I19" s="4" t="n">
        <v>0</v>
      </c>
      <c r="J19" s="6" t="n">
        <v>0</v>
      </c>
      <c r="K19" s="6" t="n">
        <v>0</v>
      </c>
      <c r="L19" s="4" t="s">
        <v>808</v>
      </c>
    </row>
    <row r="20" customFormat="false" ht="15" hidden="false" customHeight="false" outlineLevel="0" collapsed="false">
      <c r="A20" s="5" t="s">
        <v>809</v>
      </c>
      <c r="B20" s="4" t="s">
        <v>726</v>
      </c>
      <c r="C20" s="4" t="n">
        <v>1</v>
      </c>
      <c r="D20" s="6" t="n">
        <v>2.09</v>
      </c>
      <c r="E20" s="6" t="n">
        <f aca="false">C20*D20</f>
        <v>2.09</v>
      </c>
      <c r="F20" s="4" t="n">
        <v>210</v>
      </c>
      <c r="G20" s="4" t="n">
        <v>210</v>
      </c>
      <c r="H20" s="4" t="s">
        <v>69</v>
      </c>
      <c r="I20" s="4" t="n">
        <v>0</v>
      </c>
      <c r="J20" s="6" t="n">
        <v>0</v>
      </c>
      <c r="K20" s="6" t="n">
        <v>0</v>
      </c>
      <c r="L20" s="4" t="s">
        <v>972</v>
      </c>
    </row>
    <row r="21" customFormat="false" ht="15" hidden="false" customHeight="false" outlineLevel="0" collapsed="false">
      <c r="A21" s="5" t="s">
        <v>909</v>
      </c>
      <c r="B21" s="4" t="s">
        <v>726</v>
      </c>
      <c r="C21" s="4" t="n">
        <v>1</v>
      </c>
      <c r="D21" s="6" t="n">
        <v>1.95</v>
      </c>
      <c r="E21" s="6" t="n">
        <f aca="false">C21*D21</f>
        <v>1.95</v>
      </c>
      <c r="F21" s="4" t="n">
        <v>90</v>
      </c>
      <c r="G21" s="4" t="n">
        <v>120</v>
      </c>
      <c r="H21" s="4" t="s">
        <v>69</v>
      </c>
      <c r="I21" s="4" t="n">
        <v>30</v>
      </c>
      <c r="J21" s="6" t="n">
        <v>0</v>
      </c>
      <c r="K21" s="6" t="n">
        <v>0.4875</v>
      </c>
      <c r="L21" s="4" t="s">
        <v>973</v>
      </c>
    </row>
    <row r="22" customFormat="false" ht="15" hidden="false" customHeight="false" outlineLevel="0" collapsed="false">
      <c r="A22" s="5" t="s">
        <v>813</v>
      </c>
      <c r="B22" s="4" t="s">
        <v>726</v>
      </c>
      <c r="C22" s="4" t="n">
        <v>2</v>
      </c>
      <c r="D22" s="6" t="n">
        <v>1.15</v>
      </c>
      <c r="E22" s="6" t="n">
        <f aca="false">C22*D22</f>
        <v>2.3</v>
      </c>
      <c r="F22" s="4" t="n">
        <v>250</v>
      </c>
      <c r="G22" s="4" t="n">
        <v>250</v>
      </c>
      <c r="H22" s="4" t="s">
        <v>69</v>
      </c>
      <c r="I22" s="4" t="n">
        <v>0</v>
      </c>
      <c r="J22" s="6" t="n">
        <v>0</v>
      </c>
      <c r="K22" s="6" t="n">
        <v>0</v>
      </c>
      <c r="L22" s="4" t="s">
        <v>856</v>
      </c>
    </row>
    <row r="23" customFormat="false" ht="15" hidden="false" customHeight="false" outlineLevel="0" collapsed="false">
      <c r="A23" s="5" t="s">
        <v>816</v>
      </c>
      <c r="B23" s="4" t="s">
        <v>817</v>
      </c>
      <c r="C23" s="4" t="n">
        <v>1</v>
      </c>
      <c r="D23" s="6" t="n">
        <v>1.85</v>
      </c>
      <c r="E23" s="6" t="n">
        <f aca="false">C23*D23</f>
        <v>1.85</v>
      </c>
      <c r="F23" s="4" t="n">
        <v>500</v>
      </c>
      <c r="G23" s="4" t="n">
        <v>500</v>
      </c>
      <c r="H23" s="4" t="s">
        <v>69</v>
      </c>
      <c r="I23" s="4" t="n">
        <v>0</v>
      </c>
      <c r="J23" s="6" t="n">
        <v>0</v>
      </c>
      <c r="K23" s="6" t="n">
        <v>0</v>
      </c>
      <c r="L23" s="4" t="s">
        <v>808</v>
      </c>
    </row>
    <row r="24" customFormat="false" ht="15" hidden="false" customHeight="false" outlineLevel="0" collapsed="false">
      <c r="A24" s="5" t="s">
        <v>859</v>
      </c>
      <c r="B24" s="4" t="s">
        <v>732</v>
      </c>
      <c r="C24" s="4" t="n">
        <v>1</v>
      </c>
      <c r="D24" s="6" t="n">
        <v>1.59</v>
      </c>
      <c r="E24" s="6" t="n">
        <f aca="false">C24*D24</f>
        <v>1.59</v>
      </c>
      <c r="F24" s="4" t="n">
        <v>150</v>
      </c>
      <c r="G24" s="4" t="n">
        <v>150</v>
      </c>
      <c r="H24" s="4" t="s">
        <v>69</v>
      </c>
      <c r="I24" s="4" t="n">
        <v>0</v>
      </c>
      <c r="J24" s="6" t="n">
        <v>0</v>
      </c>
      <c r="K24" s="6" t="n">
        <v>0</v>
      </c>
      <c r="L24" s="4" t="s">
        <v>853</v>
      </c>
    </row>
    <row r="25" customFormat="false" ht="15" hidden="false" customHeight="false" outlineLevel="0" collapsed="false">
      <c r="A25" s="5" t="s">
        <v>734</v>
      </c>
      <c r="B25" s="4" t="s">
        <v>732</v>
      </c>
      <c r="C25" s="4" t="n">
        <v>1</v>
      </c>
      <c r="D25" s="6" t="n">
        <v>2.69</v>
      </c>
      <c r="E25" s="6" t="n">
        <f aca="false">C25*D25</f>
        <v>2.69</v>
      </c>
      <c r="F25" s="4" t="n">
        <v>240</v>
      </c>
      <c r="G25" s="4" t="n">
        <v>1000</v>
      </c>
      <c r="H25" s="4" t="s">
        <v>69</v>
      </c>
      <c r="I25" s="4" t="n">
        <v>760</v>
      </c>
      <c r="J25" s="6" t="n">
        <v>0.40888</v>
      </c>
      <c r="K25" s="6" t="n">
        <v>1.63552</v>
      </c>
      <c r="L25" s="4" t="s">
        <v>974</v>
      </c>
    </row>
    <row r="26" customFormat="false" ht="15" hidden="false" customHeight="false" outlineLevel="0" collapsed="false">
      <c r="A26" s="5" t="s">
        <v>821</v>
      </c>
      <c r="B26" s="4" t="s">
        <v>732</v>
      </c>
      <c r="C26" s="4" t="n">
        <v>1</v>
      </c>
      <c r="D26" s="6" t="n">
        <v>1.95</v>
      </c>
      <c r="E26" s="6" t="n">
        <f aca="false">C26*D26</f>
        <v>1.95</v>
      </c>
      <c r="F26" s="4" t="n">
        <v>100</v>
      </c>
      <c r="G26" s="4" t="n">
        <v>100</v>
      </c>
      <c r="H26" s="4" t="s">
        <v>69</v>
      </c>
      <c r="I26" s="4" t="n">
        <v>0</v>
      </c>
      <c r="J26" s="6" t="n">
        <v>0</v>
      </c>
      <c r="K26" s="6" t="n">
        <v>0</v>
      </c>
      <c r="L26" s="4" t="s">
        <v>808</v>
      </c>
    </row>
    <row r="27" customFormat="false" ht="15" hidden="false" customHeight="false" outlineLevel="0" collapsed="false">
      <c r="A27" s="5" t="s">
        <v>822</v>
      </c>
      <c r="B27" s="4" t="s">
        <v>732</v>
      </c>
      <c r="C27" s="4" t="n">
        <v>1</v>
      </c>
      <c r="D27" s="6" t="n">
        <v>0.99</v>
      </c>
      <c r="E27" s="6" t="n">
        <f aca="false">C27*D27</f>
        <v>0.99</v>
      </c>
      <c r="F27" s="4" t="n">
        <v>250</v>
      </c>
      <c r="G27" s="4" t="n">
        <v>250</v>
      </c>
      <c r="H27" s="4" t="s">
        <v>69</v>
      </c>
      <c r="I27" s="4" t="n">
        <v>0</v>
      </c>
      <c r="J27" s="6" t="n">
        <v>0</v>
      </c>
      <c r="K27" s="6" t="n">
        <v>0</v>
      </c>
      <c r="L27" s="4" t="s">
        <v>856</v>
      </c>
    </row>
    <row r="28" customFormat="false" ht="15" hidden="false" customHeight="false" outlineLevel="0" collapsed="false">
      <c r="A28" s="5" t="s">
        <v>739</v>
      </c>
      <c r="B28" s="4" t="s">
        <v>738</v>
      </c>
      <c r="C28" s="4" t="n">
        <v>1</v>
      </c>
      <c r="D28" s="6" t="n">
        <v>3.89</v>
      </c>
      <c r="E28" s="6" t="n">
        <f aca="false">C28*D28</f>
        <v>3.89</v>
      </c>
      <c r="F28" s="4" t="n">
        <v>200</v>
      </c>
      <c r="G28" s="4" t="n">
        <v>260</v>
      </c>
      <c r="H28" s="4" t="s">
        <v>69</v>
      </c>
      <c r="I28" s="4" t="n">
        <v>60</v>
      </c>
      <c r="J28" s="8" t="n">
        <v>0.897692307692308</v>
      </c>
      <c r="K28" s="6" t="n">
        <v>0</v>
      </c>
      <c r="L28" s="4" t="s">
        <v>935</v>
      </c>
    </row>
    <row r="29" customFormat="false" ht="15" hidden="false" customHeight="false" outlineLevel="0" collapsed="false">
      <c r="A29" s="5" t="s">
        <v>975</v>
      </c>
      <c r="B29" s="4" t="s">
        <v>738</v>
      </c>
      <c r="C29" s="4" t="n">
        <v>1</v>
      </c>
      <c r="D29" s="6" t="n">
        <v>5.19</v>
      </c>
      <c r="E29" s="6" t="n">
        <f aca="false">C29*D29</f>
        <v>5.19</v>
      </c>
      <c r="F29" s="4" t="n">
        <v>300</v>
      </c>
      <c r="G29" s="4" t="n">
        <v>400</v>
      </c>
      <c r="H29" s="4" t="s">
        <v>69</v>
      </c>
      <c r="I29" s="4" t="n">
        <v>100</v>
      </c>
      <c r="J29" s="8" t="n">
        <v>1.2975</v>
      </c>
      <c r="K29" s="6" t="n">
        <v>0</v>
      </c>
      <c r="L29" s="4" t="s">
        <v>976</v>
      </c>
    </row>
    <row r="30" customFormat="false" ht="15" hidden="false" customHeight="false" outlineLevel="0" collapsed="false">
      <c r="A30" s="5" t="s">
        <v>938</v>
      </c>
      <c r="B30" s="4" t="s">
        <v>742</v>
      </c>
      <c r="C30" s="4" t="n">
        <v>1</v>
      </c>
      <c r="D30" s="6" t="n">
        <v>1.99</v>
      </c>
      <c r="E30" s="6" t="n">
        <f aca="false">C30*D30</f>
        <v>1.99</v>
      </c>
      <c r="F30" s="4" t="n">
        <v>100</v>
      </c>
      <c r="G30" s="4" t="n">
        <v>185</v>
      </c>
      <c r="H30" s="4" t="s">
        <v>69</v>
      </c>
      <c r="I30" s="4" t="n">
        <v>85</v>
      </c>
      <c r="J30" s="6" t="n">
        <v>0.457162162162162</v>
      </c>
      <c r="K30" s="6" t="n">
        <v>0.457162162162162</v>
      </c>
      <c r="L30" s="4" t="s">
        <v>935</v>
      </c>
    </row>
    <row r="31" customFormat="false" ht="26.85" hidden="false" customHeight="false" outlineLevel="0" collapsed="false">
      <c r="A31" s="5" t="s">
        <v>864</v>
      </c>
      <c r="B31" s="4" t="s">
        <v>742</v>
      </c>
      <c r="C31" s="4" t="n">
        <v>1</v>
      </c>
      <c r="D31" s="6" t="n">
        <v>1.99</v>
      </c>
      <c r="E31" s="6" t="n">
        <f aca="false">C31*D31</f>
        <v>1.99</v>
      </c>
      <c r="F31" s="4" t="n">
        <v>100</v>
      </c>
      <c r="G31" s="4" t="n">
        <v>185</v>
      </c>
      <c r="H31" s="4" t="s">
        <v>69</v>
      </c>
      <c r="I31" s="4" t="n">
        <v>85</v>
      </c>
      <c r="J31" s="6" t="n">
        <v>0.457162162162162</v>
      </c>
      <c r="K31" s="6" t="n">
        <v>0.457162162162162</v>
      </c>
      <c r="L31" s="4" t="s">
        <v>856</v>
      </c>
    </row>
    <row r="32" customFormat="false" ht="15" hidden="false" customHeight="false" outlineLevel="0" collapsed="false">
      <c r="A32" s="5" t="s">
        <v>865</v>
      </c>
      <c r="B32" s="4" t="s">
        <v>742</v>
      </c>
      <c r="C32" s="4" t="n">
        <v>1</v>
      </c>
      <c r="D32" s="6" t="n">
        <v>1.29</v>
      </c>
      <c r="E32" s="6" t="n">
        <f aca="false">C32*D32</f>
        <v>1.29</v>
      </c>
      <c r="F32" s="4" t="n">
        <v>80</v>
      </c>
      <c r="G32" s="4" t="n">
        <v>400</v>
      </c>
      <c r="H32" s="4" t="s">
        <v>69</v>
      </c>
      <c r="I32" s="4" t="n">
        <v>320</v>
      </c>
      <c r="J32" s="6" t="n">
        <v>0.3096</v>
      </c>
      <c r="K32" s="6" t="n">
        <v>0.7224</v>
      </c>
      <c r="L32" s="4" t="s">
        <v>976</v>
      </c>
    </row>
    <row r="33" customFormat="false" ht="15" hidden="false" customHeight="false" outlineLevel="0" collapsed="false">
      <c r="A33" s="5" t="s">
        <v>977</v>
      </c>
      <c r="B33" s="4" t="s">
        <v>742</v>
      </c>
      <c r="C33" s="4" t="n">
        <v>1</v>
      </c>
      <c r="D33" s="6" t="n">
        <v>1.99</v>
      </c>
      <c r="E33" s="6" t="n">
        <f aca="false">C33*D33</f>
        <v>1.99</v>
      </c>
      <c r="F33" s="4" t="n">
        <v>120</v>
      </c>
      <c r="G33" s="4" t="n">
        <v>500</v>
      </c>
      <c r="H33" s="4" t="s">
        <v>69</v>
      </c>
      <c r="I33" s="4" t="n">
        <v>380</v>
      </c>
      <c r="J33" s="6" t="n">
        <v>0</v>
      </c>
      <c r="K33" s="6" t="n">
        <v>1.5124</v>
      </c>
      <c r="L33" s="4" t="s">
        <v>976</v>
      </c>
    </row>
    <row r="34" customFormat="false" ht="15" hidden="false" customHeight="false" outlineLevel="0" collapsed="false">
      <c r="A34" s="5" t="s">
        <v>746</v>
      </c>
      <c r="B34" s="4" t="s">
        <v>742</v>
      </c>
      <c r="C34" s="4" t="n">
        <v>1</v>
      </c>
      <c r="D34" s="6" t="n">
        <v>0.75</v>
      </c>
      <c r="E34" s="6" t="n">
        <f aca="false">C34*D34</f>
        <v>0.75</v>
      </c>
      <c r="F34" s="4" t="n">
        <v>500</v>
      </c>
      <c r="G34" s="4" t="n">
        <v>500</v>
      </c>
      <c r="H34" s="4" t="s">
        <v>69</v>
      </c>
      <c r="I34" s="4" t="n">
        <v>0</v>
      </c>
      <c r="J34" s="6" t="n">
        <v>0</v>
      </c>
      <c r="K34" s="6" t="n">
        <v>0</v>
      </c>
      <c r="L34" s="4" t="s">
        <v>973</v>
      </c>
    </row>
    <row r="35" customFormat="false" ht="15" hidden="false" customHeight="false" outlineLevel="0" collapsed="false">
      <c r="A35" s="5" t="s">
        <v>867</v>
      </c>
      <c r="B35" s="4" t="s">
        <v>742</v>
      </c>
      <c r="C35" s="4" t="n">
        <v>1</v>
      </c>
      <c r="D35" s="6" t="n">
        <v>2.05</v>
      </c>
      <c r="E35" s="6" t="n">
        <f aca="false">C35*D35</f>
        <v>2.05</v>
      </c>
      <c r="F35" s="4" t="n">
        <v>160</v>
      </c>
      <c r="G35" s="4" t="n">
        <v>320</v>
      </c>
      <c r="H35" s="4" t="s">
        <v>69</v>
      </c>
      <c r="I35" s="4" t="n">
        <v>160</v>
      </c>
      <c r="J35" s="8" t="n">
        <v>0.5125</v>
      </c>
      <c r="K35" s="6" t="n">
        <v>0.5125</v>
      </c>
      <c r="L35" s="4" t="s">
        <v>853</v>
      </c>
    </row>
    <row r="36" customFormat="false" ht="15" hidden="false" customHeight="false" outlineLevel="0" collapsed="false">
      <c r="A36" s="9" t="s">
        <v>748</v>
      </c>
      <c r="E36" s="17" t="n">
        <f aca="false">SUM(E16:E35)</f>
        <v>39.93</v>
      </c>
      <c r="J36" s="17" t="n">
        <f aca="false">SUM(J16:J35)</f>
        <v>4.92974663201663</v>
      </c>
      <c r="K36" s="17" t="n">
        <f aca="false">SUM(K16:K35)</f>
        <v>6.60222765765766</v>
      </c>
    </row>
    <row r="37" customFormat="false" ht="15" hidden="false" customHeight="false" outlineLevel="0" collapsed="false">
      <c r="A37" s="18" t="s">
        <v>47</v>
      </c>
      <c r="B37" s="18" t="s">
        <v>749</v>
      </c>
      <c r="C37" s="4" t="n">
        <v>1</v>
      </c>
      <c r="D37" s="6" t="n">
        <v>4.95</v>
      </c>
      <c r="E37" s="6" t="n">
        <f aca="false">C37*D37</f>
        <v>4.95</v>
      </c>
      <c r="L37" s="4" t="s">
        <v>750</v>
      </c>
    </row>
    <row r="38" customFormat="false" ht="15" hidden="false" customHeight="false" outlineLevel="0" collapsed="false">
      <c r="A38" s="18" t="s">
        <v>48</v>
      </c>
      <c r="B38" s="18" t="s">
        <v>749</v>
      </c>
      <c r="C38" s="4" t="n">
        <v>1</v>
      </c>
      <c r="D38" s="6" t="n">
        <v>2.99</v>
      </c>
      <c r="E38" s="6" t="n">
        <f aca="false">C38*D38</f>
        <v>2.99</v>
      </c>
      <c r="L38" s="4" t="s">
        <v>751</v>
      </c>
    </row>
    <row r="39" customFormat="false" ht="15" hidden="false" customHeight="false" outlineLevel="0" collapsed="false">
      <c r="A39" s="9" t="s">
        <v>752</v>
      </c>
      <c r="E39" s="17" t="n">
        <f aca="false">E36+E37+E38</f>
        <v>47.87</v>
      </c>
    </row>
    <row r="41" customFormat="false" ht="16.15" hidden="false" customHeight="false" outlineLevel="0" collapsed="false">
      <c r="A41" s="1" t="s">
        <v>753</v>
      </c>
    </row>
    <row r="42" customFormat="false" ht="26.85" hidden="false" customHeight="false" outlineLevel="0" collapsed="false">
      <c r="A42" s="3" t="s">
        <v>754</v>
      </c>
      <c r="B42" s="3" t="s">
        <v>708</v>
      </c>
      <c r="C42" s="3" t="s">
        <v>63</v>
      </c>
      <c r="D42" s="3" t="s">
        <v>755</v>
      </c>
      <c r="E42" s="3" t="s">
        <v>711</v>
      </c>
      <c r="F42" s="3" t="s">
        <v>756</v>
      </c>
      <c r="G42" s="3" t="s">
        <v>757</v>
      </c>
      <c r="H42" s="3" t="s">
        <v>64</v>
      </c>
      <c r="I42" s="3" t="s">
        <v>758</v>
      </c>
      <c r="J42" s="3"/>
      <c r="K42" s="3" t="s">
        <v>759</v>
      </c>
      <c r="L42" s="3" t="s">
        <v>717</v>
      </c>
    </row>
    <row r="43" customFormat="false" ht="15" hidden="false" customHeight="false" outlineLevel="0" collapsed="false">
      <c r="A43" s="19" t="s">
        <v>90</v>
      </c>
      <c r="B43" s="10" t="s">
        <v>760</v>
      </c>
      <c r="C43" s="4" t="n">
        <v>1</v>
      </c>
      <c r="D43" s="6" t="n">
        <v>2.15</v>
      </c>
      <c r="E43" s="6" t="n">
        <f aca="false">C43*D43</f>
        <v>2.15</v>
      </c>
      <c r="F43" s="4" t="n">
        <v>44</v>
      </c>
      <c r="G43" s="4" t="n">
        <v>1000</v>
      </c>
      <c r="H43" s="4" t="s">
        <v>74</v>
      </c>
      <c r="I43" s="4" t="n">
        <v>956</v>
      </c>
      <c r="K43" s="6" t="n">
        <f aca="false">D43*I43/G43</f>
        <v>2.0554</v>
      </c>
      <c r="L43" s="4" t="s">
        <v>978</v>
      </c>
    </row>
    <row r="44" customFormat="false" ht="15" hidden="false" customHeight="false" outlineLevel="0" collapsed="false">
      <c r="A44" s="19" t="s">
        <v>178</v>
      </c>
      <c r="B44" s="10" t="s">
        <v>760</v>
      </c>
      <c r="C44" s="4" t="n">
        <v>1</v>
      </c>
      <c r="D44" s="6" t="n">
        <v>1.9</v>
      </c>
      <c r="E44" s="6" t="n">
        <f aca="false">C44*D44</f>
        <v>1.9</v>
      </c>
      <c r="F44" s="4" t="n">
        <v>4</v>
      </c>
      <c r="G44" s="4" t="n">
        <v>20</v>
      </c>
      <c r="H44" s="4" t="s">
        <v>69</v>
      </c>
      <c r="I44" s="4" t="n">
        <v>16</v>
      </c>
      <c r="K44" s="6" t="n">
        <f aca="false">D44*I44/G44</f>
        <v>1.52</v>
      </c>
      <c r="L44" s="4" t="s">
        <v>976</v>
      </c>
    </row>
    <row r="45" customFormat="false" ht="15" hidden="false" customHeight="false" outlineLevel="0" collapsed="false">
      <c r="A45" s="19" t="s">
        <v>97</v>
      </c>
      <c r="B45" s="10" t="s">
        <v>760</v>
      </c>
      <c r="C45" s="4" t="n">
        <v>1</v>
      </c>
      <c r="D45" s="6" t="n">
        <v>0.5</v>
      </c>
      <c r="E45" s="6" t="n">
        <f aca="false">C45*D45</f>
        <v>0.5</v>
      </c>
      <c r="F45" s="4" t="n">
        <v>14</v>
      </c>
      <c r="G45" s="4" t="n">
        <v>100</v>
      </c>
      <c r="H45" s="4" t="s">
        <v>69</v>
      </c>
      <c r="I45" s="4" t="n">
        <v>86</v>
      </c>
      <c r="K45" s="6" t="n">
        <f aca="false">D45*I45/G45</f>
        <v>0.43</v>
      </c>
      <c r="L45" s="4" t="s">
        <v>979</v>
      </c>
    </row>
    <row r="46" customFormat="false" ht="15" hidden="false" customHeight="false" outlineLevel="0" collapsed="false">
      <c r="A46" s="19" t="s">
        <v>252</v>
      </c>
      <c r="B46" s="10" t="s">
        <v>760</v>
      </c>
      <c r="C46" s="4" t="n">
        <v>1</v>
      </c>
      <c r="D46" s="6" t="n">
        <v>1.09</v>
      </c>
      <c r="E46" s="6" t="n">
        <f aca="false">C46*D46</f>
        <v>1.09</v>
      </c>
      <c r="F46" s="4" t="n">
        <v>4</v>
      </c>
      <c r="G46" s="4" t="n">
        <v>750</v>
      </c>
      <c r="H46" s="4" t="s">
        <v>74</v>
      </c>
      <c r="I46" s="4" t="n">
        <v>746</v>
      </c>
      <c r="K46" s="6" t="n">
        <f aca="false">D46*I46/G46</f>
        <v>1.08418666666667</v>
      </c>
      <c r="L46" s="4" t="s">
        <v>853</v>
      </c>
    </row>
    <row r="47" customFormat="false" ht="15" hidden="false" customHeight="false" outlineLevel="0" collapsed="false">
      <c r="A47" s="9" t="s">
        <v>764</v>
      </c>
      <c r="E47" s="17" t="n">
        <f aca="false">SUM(E43:E46)</f>
        <v>5.64</v>
      </c>
    </row>
    <row r="49" customFormat="false" ht="16.15" hidden="false" customHeight="false" outlineLevel="0" collapsed="false">
      <c r="A49" s="1" t="s">
        <v>765</v>
      </c>
    </row>
    <row r="50" customFormat="false" ht="15" hidden="false" customHeight="false" outlineLevel="0" collapsed="false">
      <c r="A50" s="4" t="s">
        <v>766</v>
      </c>
      <c r="E50" s="6" t="n">
        <f aca="false">E39</f>
        <v>47.87</v>
      </c>
    </row>
    <row r="51" customFormat="false" ht="15" hidden="false" customHeight="false" outlineLevel="0" collapsed="false">
      <c r="A51" s="4" t="s">
        <v>767</v>
      </c>
      <c r="E51" s="6" t="n">
        <f aca="false">E47</f>
        <v>5.64</v>
      </c>
    </row>
    <row r="52" customFormat="false" ht="15" hidden="false" customHeight="false" outlineLevel="0" collapsed="false">
      <c r="A52" s="9" t="s">
        <v>768</v>
      </c>
      <c r="E52" s="17" t="n">
        <f aca="false">E39+E47</f>
        <v>53.51</v>
      </c>
    </row>
    <row r="53" customFormat="false" ht="15" hidden="false" customHeight="false" outlineLevel="0" collapsed="false">
      <c r="A53" s="4" t="s">
        <v>769</v>
      </c>
      <c r="E53" s="6" t="n">
        <v>55</v>
      </c>
    </row>
    <row r="54" customFormat="false" ht="15" hidden="false" customHeight="false" outlineLevel="0" collapsed="false">
      <c r="A54" s="4" t="s">
        <v>770</v>
      </c>
      <c r="E54" s="6" t="n">
        <f aca="false">E53-E52</f>
        <v>1.48999999999999</v>
      </c>
    </row>
    <row r="55" customFormat="false" ht="15" hidden="false" customHeight="false" outlineLevel="0" collapsed="false">
      <c r="A55" s="4" t="s">
        <v>771</v>
      </c>
      <c r="E55" s="6" t="n">
        <f aca="false">J36</f>
        <v>4.92974663201663</v>
      </c>
    </row>
    <row r="56" customFormat="false" ht="15" hidden="false" customHeight="false" outlineLevel="0" collapsed="false">
      <c r="A56" s="4" t="s">
        <v>772</v>
      </c>
      <c r="E56" s="20" t="n">
        <f aca="false">J36/E39</f>
        <v>0.102981964320381</v>
      </c>
    </row>
    <row r="57" customFormat="false" ht="15" hidden="false" customHeight="false" outlineLevel="0" collapsed="false">
      <c r="A57" s="4" t="s">
        <v>773</v>
      </c>
      <c r="E57" s="6" t="n">
        <f aca="false">K36</f>
        <v>6.60222765765766</v>
      </c>
    </row>
    <row r="58" customFormat="false" ht="15" hidden="false" customHeight="false" outlineLevel="0" collapsed="false">
      <c r="A58" s="4" t="s">
        <v>774</v>
      </c>
      <c r="E58" s="6" t="n">
        <f aca="false">(E39+E47)/14</f>
        <v>3.82214285714286</v>
      </c>
    </row>
    <row r="59" customFormat="false" ht="15" hidden="false" customHeight="false" outlineLevel="0" collapsed="false">
      <c r="A59" s="4" t="s">
        <v>775</v>
      </c>
      <c r="E59" s="6" t="n">
        <f aca="false">E39</f>
        <v>47.87</v>
      </c>
    </row>
    <row r="62" customFormat="false" ht="16.15" hidden="false" customHeight="false" outlineLevel="0" collapsed="false">
      <c r="A62" s="1" t="s">
        <v>776</v>
      </c>
    </row>
    <row r="63" customFormat="false" ht="15" hidden="false" customHeight="false" outlineLevel="0" collapsed="false">
      <c r="A63" s="21" t="s">
        <v>980</v>
      </c>
    </row>
    <row r="64" customFormat="false" ht="30" hidden="false" customHeight="true" outlineLevel="0" collapsed="false">
      <c r="A64" s="9" t="s">
        <v>62</v>
      </c>
      <c r="B64" s="5" t="s">
        <v>981</v>
      </c>
      <c r="C64" s="5"/>
      <c r="D64" s="5"/>
      <c r="E64" s="5"/>
      <c r="F64" s="5"/>
      <c r="G64" s="5"/>
      <c r="H64" s="5"/>
      <c r="I64" s="5"/>
      <c r="J64" s="5"/>
      <c r="K64" s="5"/>
      <c r="L64" s="5"/>
    </row>
    <row r="65" customFormat="false" ht="18" hidden="false" customHeight="true" outlineLevel="0" collapsed="false">
      <c r="A65" s="4" t="s">
        <v>779</v>
      </c>
      <c r="B65" s="5" t="s">
        <v>179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8" hidden="false" customHeight="true" outlineLevel="0" collapsed="false">
      <c r="A66" s="4" t="s">
        <v>780</v>
      </c>
      <c r="B66" s="5" t="s">
        <v>180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8" hidden="false" customHeight="true" outlineLevel="0" collapsed="false">
      <c r="A67" s="4" t="s">
        <v>781</v>
      </c>
      <c r="B67" s="5" t="s">
        <v>181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customFormat="false" ht="30" hidden="false" customHeight="true" outlineLevel="0" collapsed="false">
      <c r="A68" s="4" t="s">
        <v>782</v>
      </c>
      <c r="B68" s="5" t="s">
        <v>182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customFormat="false" ht="18" hidden="false" customHeight="true" outlineLevel="0" collapsed="false">
      <c r="A69" s="4" t="s">
        <v>783</v>
      </c>
      <c r="B69" s="5" t="s">
        <v>183</v>
      </c>
      <c r="C69" s="5"/>
      <c r="D69" s="5"/>
      <c r="E69" s="5"/>
      <c r="F69" s="5"/>
      <c r="G69" s="5"/>
      <c r="H69" s="5"/>
      <c r="I69" s="5"/>
      <c r="J69" s="5"/>
      <c r="K69" s="5"/>
      <c r="L69" s="5"/>
    </row>
    <row r="70" customFormat="false" ht="18" hidden="false" customHeight="true" outlineLevel="0" collapsed="false">
      <c r="A70" s="4" t="s">
        <v>784</v>
      </c>
      <c r="B70" s="5" t="s">
        <v>184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 customFormat="false" ht="18" hidden="false" customHeight="true" outlineLevel="0" collapsed="false">
      <c r="A71" s="4" t="s">
        <v>785</v>
      </c>
      <c r="B71" s="5" t="s">
        <v>185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18" hidden="false" customHeight="true" outlineLevel="0" collapsed="false">
      <c r="A72" s="4" t="s">
        <v>839</v>
      </c>
      <c r="B72" s="5" t="s">
        <v>186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4" customFormat="false" ht="15" hidden="false" customHeight="false" outlineLevel="0" collapsed="false">
      <c r="A74" s="21" t="s">
        <v>835</v>
      </c>
    </row>
    <row r="75" customFormat="false" ht="30" hidden="false" customHeight="true" outlineLevel="0" collapsed="false">
      <c r="A75" s="9" t="s">
        <v>62</v>
      </c>
      <c r="B75" s="5" t="s">
        <v>836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779</v>
      </c>
      <c r="B76" s="5" t="s">
        <v>130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780</v>
      </c>
      <c r="B77" s="5" t="s">
        <v>131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781</v>
      </c>
      <c r="B78" s="5" t="s">
        <v>132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18" hidden="false" customHeight="true" outlineLevel="0" collapsed="false">
      <c r="A79" s="4" t="s">
        <v>782</v>
      </c>
      <c r="B79" s="5" t="s">
        <v>133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 customFormat="false" ht="18" hidden="false" customHeight="true" outlineLevel="0" collapsed="false">
      <c r="A80" s="4" t="s">
        <v>783</v>
      </c>
      <c r="B80" s="5" t="s">
        <v>134</v>
      </c>
      <c r="C80" s="5"/>
      <c r="D80" s="5"/>
      <c r="E80" s="5"/>
      <c r="F80" s="5"/>
      <c r="G80" s="5"/>
      <c r="H80" s="5"/>
      <c r="I80" s="5"/>
      <c r="J80" s="5"/>
      <c r="K80" s="5"/>
      <c r="L80" s="5"/>
    </row>
    <row r="81" customFormat="false" ht="30" hidden="false" customHeight="true" outlineLevel="0" collapsed="false">
      <c r="A81" s="4" t="s">
        <v>784</v>
      </c>
      <c r="B81" s="5" t="s">
        <v>135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3" customFormat="false" ht="15" hidden="false" customHeight="false" outlineLevel="0" collapsed="false">
      <c r="A83" s="21" t="s">
        <v>982</v>
      </c>
    </row>
    <row r="84" customFormat="false" ht="30" hidden="false" customHeight="true" outlineLevel="0" collapsed="false">
      <c r="A84" s="9" t="s">
        <v>62</v>
      </c>
      <c r="B84" s="5" t="s">
        <v>942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779</v>
      </c>
      <c r="B85" s="5" t="s">
        <v>271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18" hidden="false" customHeight="true" outlineLevel="0" collapsed="false">
      <c r="A86" s="4" t="s">
        <v>780</v>
      </c>
      <c r="B86" s="5" t="s">
        <v>272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781</v>
      </c>
      <c r="B87" s="5" t="s">
        <v>273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782</v>
      </c>
      <c r="B88" s="5" t="s">
        <v>274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783</v>
      </c>
      <c r="B89" s="5" t="s">
        <v>275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30" hidden="false" customHeight="true" outlineLevel="0" collapsed="false">
      <c r="A90" s="4" t="s">
        <v>784</v>
      </c>
      <c r="B90" s="5" t="s">
        <v>276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customFormat="false" ht="15" hidden="false" customHeight="false" outlineLevel="0" collapsed="false">
      <c r="A92" s="21" t="s">
        <v>983</v>
      </c>
    </row>
    <row r="93" customFormat="false" ht="30" hidden="false" customHeight="true" outlineLevel="0" collapsed="false">
      <c r="A93" s="9" t="s">
        <v>62</v>
      </c>
      <c r="B93" s="5" t="s">
        <v>873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4" t="s">
        <v>779</v>
      </c>
      <c r="B94" s="5" t="s">
        <v>602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30" hidden="false" customHeight="true" outlineLevel="0" collapsed="false">
      <c r="A95" s="4" t="s">
        <v>780</v>
      </c>
      <c r="B95" s="5" t="s">
        <v>603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30" hidden="false" customHeight="true" outlineLevel="0" collapsed="false">
      <c r="A96" s="4" t="s">
        <v>781</v>
      </c>
      <c r="B96" s="5" t="s">
        <v>604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30" hidden="false" customHeight="true" outlineLevel="0" collapsed="false">
      <c r="A97" s="4" t="s">
        <v>782</v>
      </c>
      <c r="B97" s="5" t="s">
        <v>605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783</v>
      </c>
      <c r="B98" s="5" t="s">
        <v>606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784</v>
      </c>
      <c r="B99" s="5" t="s">
        <v>607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30" hidden="false" customHeight="true" outlineLevel="0" collapsed="false">
      <c r="A100" s="4" t="s">
        <v>785</v>
      </c>
      <c r="B100" s="5" t="s">
        <v>608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2" customFormat="false" ht="15" hidden="false" customHeight="false" outlineLevel="0" collapsed="false">
      <c r="A102" s="21" t="s">
        <v>876</v>
      </c>
    </row>
    <row r="103" customFormat="false" ht="30" hidden="false" customHeight="true" outlineLevel="0" collapsed="false">
      <c r="A103" s="9" t="s">
        <v>62</v>
      </c>
      <c r="B103" s="5" t="s">
        <v>877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8" hidden="false" customHeight="true" outlineLevel="0" collapsed="false">
      <c r="A104" s="4" t="s">
        <v>779</v>
      </c>
      <c r="B104" s="5" t="s">
        <v>253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780</v>
      </c>
      <c r="B105" s="5" t="s">
        <v>254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18" hidden="false" customHeight="true" outlineLevel="0" collapsed="false">
      <c r="A106" s="4" t="s">
        <v>781</v>
      </c>
      <c r="B106" s="5" t="s">
        <v>255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30" hidden="false" customHeight="true" outlineLevel="0" collapsed="false">
      <c r="A107" s="4" t="s">
        <v>782</v>
      </c>
      <c r="B107" s="5" t="s">
        <v>256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30" hidden="false" customHeight="true" outlineLevel="0" collapsed="false">
      <c r="A108" s="4" t="s">
        <v>783</v>
      </c>
      <c r="B108" s="5" t="s">
        <v>257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30" hidden="false" customHeight="true" outlineLevel="0" collapsed="false">
      <c r="A109" s="4" t="s">
        <v>784</v>
      </c>
      <c r="B109" s="5" t="s">
        <v>258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</sheetData>
  <mergeCells count="38">
    <mergeCell ref="B64:L64"/>
    <mergeCell ref="B65:L65"/>
    <mergeCell ref="B66:L66"/>
    <mergeCell ref="B67:L67"/>
    <mergeCell ref="B68:L68"/>
    <mergeCell ref="B69:L69"/>
    <mergeCell ref="B70:L70"/>
    <mergeCell ref="B71:L71"/>
    <mergeCell ref="B72:L72"/>
    <mergeCell ref="B75:L75"/>
    <mergeCell ref="B76:L76"/>
    <mergeCell ref="B77:L77"/>
    <mergeCell ref="B78:L78"/>
    <mergeCell ref="B79:L79"/>
    <mergeCell ref="B80:L80"/>
    <mergeCell ref="B81:L81"/>
    <mergeCell ref="B84:L84"/>
    <mergeCell ref="B85:L85"/>
    <mergeCell ref="B86:L86"/>
    <mergeCell ref="B87:L87"/>
    <mergeCell ref="B88:L88"/>
    <mergeCell ref="B89:L89"/>
    <mergeCell ref="B90:L90"/>
    <mergeCell ref="B93:L93"/>
    <mergeCell ref="B94:L94"/>
    <mergeCell ref="B95:L95"/>
    <mergeCell ref="B96:L96"/>
    <mergeCell ref="B97:L97"/>
    <mergeCell ref="B98:L98"/>
    <mergeCell ref="B99:L99"/>
    <mergeCell ref="B100:L100"/>
    <mergeCell ref="B103:L103"/>
    <mergeCell ref="B104:L104"/>
    <mergeCell ref="B105:L105"/>
    <mergeCell ref="B106:L106"/>
    <mergeCell ref="B107:L107"/>
    <mergeCell ref="B108:L108"/>
    <mergeCell ref="B109:L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2"/>
  </cols>
  <sheetData>
    <row r="1" customFormat="false" ht="16.15" hidden="false" customHeight="false" outlineLevel="0" collapsed="false">
      <c r="A1" s="1" t="s">
        <v>984</v>
      </c>
    </row>
    <row r="3" customFormat="false" ht="16.15" hidden="false" customHeight="false" outlineLevel="0" collapsed="false">
      <c r="A3" s="1" t="s">
        <v>669</v>
      </c>
    </row>
    <row r="4" customFormat="false" ht="39.55" hidden="false" customHeight="false" outlineLevel="0" collapsed="false">
      <c r="A4" s="3" t="s">
        <v>670</v>
      </c>
      <c r="B4" s="3" t="s">
        <v>671</v>
      </c>
      <c r="C4" s="3" t="s">
        <v>672</v>
      </c>
      <c r="D4" s="3" t="s">
        <v>673</v>
      </c>
      <c r="E4" s="3" t="s">
        <v>674</v>
      </c>
      <c r="F4" s="3" t="s">
        <v>675</v>
      </c>
      <c r="G4" s="3" t="s">
        <v>676</v>
      </c>
    </row>
    <row r="5" customFormat="false" ht="15" hidden="false" customHeight="false" outlineLevel="0" collapsed="false">
      <c r="A5" s="4" t="s">
        <v>677</v>
      </c>
      <c r="B5" s="4" t="s">
        <v>678</v>
      </c>
      <c r="C5" s="4" t="s">
        <v>679</v>
      </c>
      <c r="D5" s="4" t="s">
        <v>680</v>
      </c>
      <c r="E5" s="4" t="s">
        <v>681</v>
      </c>
      <c r="F5" s="4" t="s">
        <v>682</v>
      </c>
      <c r="G5" s="4"/>
    </row>
    <row r="6" customFormat="false" ht="31.5" hidden="false" customHeight="true" outlineLevel="0" collapsed="false">
      <c r="A6" s="4" t="s">
        <v>683</v>
      </c>
      <c r="B6" s="5" t="s">
        <v>684</v>
      </c>
      <c r="C6" s="16" t="s">
        <v>205</v>
      </c>
      <c r="D6" s="4" t="n">
        <f aca="false">ROUND(Nutrition!H90,0)</f>
        <v>771</v>
      </c>
      <c r="E6" s="5" t="s">
        <v>985</v>
      </c>
      <c r="F6" s="5" t="s">
        <v>208</v>
      </c>
      <c r="G6" s="4" t="str">
        <f aca="false">ROUND(Nutrition!I90,0)&amp;" / "&amp;ROUND(Nutrition!J90,0)&amp;" / "&amp;ROUND(Nutrition!K90,0)</f>
        <v>51 / 84 / 24</v>
      </c>
    </row>
    <row r="7" customFormat="false" ht="31.5" hidden="false" customHeight="true" outlineLevel="0" collapsed="false">
      <c r="A7" s="4" t="s">
        <v>686</v>
      </c>
      <c r="B7" s="5" t="s">
        <v>986</v>
      </c>
      <c r="C7" s="16" t="s">
        <v>318</v>
      </c>
      <c r="D7" s="4" t="n">
        <f aca="false">ROUND(Nutrition!H171,0)</f>
        <v>949</v>
      </c>
      <c r="E7" s="5" t="s">
        <v>849</v>
      </c>
      <c r="F7" s="5" t="s">
        <v>320</v>
      </c>
      <c r="G7" s="4" t="str">
        <f aca="false">ROUND(Nutrition!I171,0)&amp;" / "&amp;ROUND(Nutrition!J171,0)&amp;" / "&amp;ROUND(Nutrition!K171,0)</f>
        <v>37 / 102 / 43</v>
      </c>
    </row>
    <row r="8" customFormat="false" ht="31.5" hidden="false" customHeight="true" outlineLevel="0" collapsed="false">
      <c r="A8" s="4" t="s">
        <v>689</v>
      </c>
      <c r="B8" s="5" t="s">
        <v>948</v>
      </c>
      <c r="C8" s="16" t="s">
        <v>472</v>
      </c>
      <c r="D8" s="4" t="n">
        <f aca="false">ROUND(Nutrition!H271,0)</f>
        <v>729</v>
      </c>
      <c r="E8" s="5" t="s">
        <v>987</v>
      </c>
      <c r="F8" s="5" t="s">
        <v>476</v>
      </c>
      <c r="G8" s="4" t="str">
        <f aca="false">ROUND(Nutrition!I271,0)&amp;" / "&amp;ROUND(Nutrition!J271,0)&amp;" / "&amp;ROUND(Nutrition!K271,0)</f>
        <v>44 / 86 / 22</v>
      </c>
    </row>
    <row r="9" customFormat="false" ht="31.5" hidden="false" customHeight="true" outlineLevel="0" collapsed="false">
      <c r="A9" s="4" t="s">
        <v>692</v>
      </c>
      <c r="B9" s="5" t="s">
        <v>988</v>
      </c>
      <c r="C9" s="16" t="s">
        <v>490</v>
      </c>
      <c r="D9" s="4" t="n">
        <f aca="false">ROUND(Nutrition!H289,0)</f>
        <v>741</v>
      </c>
      <c r="E9" s="5" t="s">
        <v>949</v>
      </c>
      <c r="F9" s="5" t="s">
        <v>494</v>
      </c>
      <c r="G9" s="4" t="str">
        <f aca="false">ROUND(Nutrition!I289,0)&amp;" / "&amp;ROUND(Nutrition!J289,0)&amp;" / "&amp;ROUND(Nutrition!K289,0)</f>
        <v>33 / 82 / 30</v>
      </c>
    </row>
    <row r="10" customFormat="false" ht="31.5" hidden="false" customHeight="true" outlineLevel="0" collapsed="false">
      <c r="A10" s="4" t="s">
        <v>695</v>
      </c>
      <c r="B10" s="5" t="s">
        <v>950</v>
      </c>
      <c r="C10" s="16" t="s">
        <v>514</v>
      </c>
      <c r="D10" s="4" t="n">
        <f aca="false">ROUND(Nutrition!H304,0)</f>
        <v>863</v>
      </c>
      <c r="E10" s="5" t="s">
        <v>697</v>
      </c>
      <c r="F10" s="5"/>
      <c r="G10" s="4" t="str">
        <f aca="false">ROUND(Nutrition!I304,0)&amp;" / "&amp;ROUND(Nutrition!J304,0)&amp;" / "&amp;ROUND(Nutrition!K304,0)</f>
        <v>33 / 96 / 38</v>
      </c>
    </row>
    <row r="11" customFormat="false" ht="52.2" hidden="false" customHeight="false" outlineLevel="0" collapsed="false">
      <c r="A11" s="4" t="s">
        <v>698</v>
      </c>
      <c r="B11" s="5" t="s">
        <v>880</v>
      </c>
      <c r="C11" s="4" t="s">
        <v>989</v>
      </c>
      <c r="D11" s="4" t="s">
        <v>701</v>
      </c>
      <c r="E11" s="4" t="s">
        <v>702</v>
      </c>
      <c r="F11" s="4" t="s">
        <v>703</v>
      </c>
      <c r="G11" s="4"/>
    </row>
    <row r="12" customFormat="false" ht="15" hidden="false" customHeight="false" outlineLevel="0" collapsed="false">
      <c r="A12" s="4" t="s">
        <v>704</v>
      </c>
      <c r="B12" s="4" t="s">
        <v>989</v>
      </c>
      <c r="C12" s="4" t="s">
        <v>705</v>
      </c>
      <c r="D12" s="4"/>
      <c r="E12" s="4"/>
      <c r="F12" s="4"/>
      <c r="G12" s="4"/>
    </row>
    <row r="14" customFormat="false" ht="16.15" hidden="false" customHeight="false" outlineLevel="0" collapsed="false">
      <c r="A14" s="1" t="s">
        <v>706</v>
      </c>
    </row>
    <row r="15" customFormat="false" ht="39.55" hidden="false" customHeight="false" outlineLevel="0" collapsed="false">
      <c r="A15" s="3" t="s">
        <v>707</v>
      </c>
      <c r="B15" s="3" t="s">
        <v>708</v>
      </c>
      <c r="C15" s="3" t="s">
        <v>709</v>
      </c>
      <c r="D15" s="3" t="s">
        <v>710</v>
      </c>
      <c r="E15" s="3" t="s">
        <v>711</v>
      </c>
      <c r="F15" s="3" t="s">
        <v>712</v>
      </c>
      <c r="G15" s="3" t="s">
        <v>713</v>
      </c>
      <c r="H15" s="3" t="s">
        <v>64</v>
      </c>
      <c r="I15" s="3" t="s">
        <v>714</v>
      </c>
      <c r="J15" s="3" t="s">
        <v>715</v>
      </c>
      <c r="K15" s="3" t="s">
        <v>716</v>
      </c>
      <c r="L15" s="3" t="s">
        <v>717</v>
      </c>
    </row>
    <row r="16" customFormat="false" ht="15" hidden="false" customHeight="false" outlineLevel="0" collapsed="false">
      <c r="A16" s="5" t="s">
        <v>721</v>
      </c>
      <c r="B16" s="4" t="s">
        <v>719</v>
      </c>
      <c r="C16" s="4" t="n">
        <v>1</v>
      </c>
      <c r="D16" s="6" t="n">
        <v>2.09</v>
      </c>
      <c r="E16" s="6" t="n">
        <f aca="false">C16*D16</f>
        <v>2.09</v>
      </c>
      <c r="F16" s="4" t="n">
        <v>100</v>
      </c>
      <c r="G16" s="4" t="n">
        <v>200</v>
      </c>
      <c r="H16" s="4" t="s">
        <v>69</v>
      </c>
      <c r="I16" s="4" t="n">
        <v>100</v>
      </c>
      <c r="J16" s="8" t="n">
        <v>0.5225</v>
      </c>
      <c r="K16" s="6" t="n">
        <v>0.5225</v>
      </c>
      <c r="L16" s="4" t="s">
        <v>884</v>
      </c>
    </row>
    <row r="17" customFormat="false" ht="15" hidden="false" customHeight="false" outlineLevel="0" collapsed="false">
      <c r="A17" s="5" t="s">
        <v>883</v>
      </c>
      <c r="B17" s="4" t="s">
        <v>726</v>
      </c>
      <c r="C17" s="4" t="n">
        <v>1</v>
      </c>
      <c r="D17" s="6" t="n">
        <v>2.09</v>
      </c>
      <c r="E17" s="6" t="n">
        <f aca="false">C17*D17</f>
        <v>2.09</v>
      </c>
      <c r="F17" s="4" t="n">
        <v>100</v>
      </c>
      <c r="G17" s="4" t="n">
        <v>180</v>
      </c>
      <c r="H17" s="4" t="s">
        <v>69</v>
      </c>
      <c r="I17" s="4" t="n">
        <v>80</v>
      </c>
      <c r="J17" s="6" t="n">
        <v>0.464444444444444</v>
      </c>
      <c r="K17" s="6" t="n">
        <v>0.464444444444444</v>
      </c>
      <c r="L17" s="4" t="s">
        <v>884</v>
      </c>
    </row>
    <row r="18" customFormat="false" ht="15" hidden="false" customHeight="false" outlineLevel="0" collapsed="false">
      <c r="A18" s="5" t="s">
        <v>952</v>
      </c>
      <c r="B18" s="4" t="s">
        <v>726</v>
      </c>
      <c r="C18" s="4" t="n">
        <v>1</v>
      </c>
      <c r="D18" s="6" t="n">
        <v>2.09</v>
      </c>
      <c r="E18" s="6" t="n">
        <f aca="false">C18*D18</f>
        <v>2.09</v>
      </c>
      <c r="F18" s="4" t="n">
        <v>80</v>
      </c>
      <c r="G18" s="4" t="n">
        <v>200</v>
      </c>
      <c r="H18" s="4" t="s">
        <v>69</v>
      </c>
      <c r="I18" s="4" t="n">
        <v>120</v>
      </c>
      <c r="J18" s="8" t="n">
        <v>0.8778</v>
      </c>
      <c r="K18" s="6" t="n">
        <v>0.3762</v>
      </c>
      <c r="L18" s="4" t="s">
        <v>953</v>
      </c>
    </row>
    <row r="19" customFormat="false" ht="15" hidden="false" customHeight="false" outlineLevel="0" collapsed="false">
      <c r="A19" s="5" t="s">
        <v>725</v>
      </c>
      <c r="B19" s="4" t="s">
        <v>726</v>
      </c>
      <c r="C19" s="4" t="n">
        <v>1</v>
      </c>
      <c r="D19" s="6" t="n">
        <v>0.75</v>
      </c>
      <c r="E19" s="6" t="n">
        <f aca="false">C19*D19</f>
        <v>0.75</v>
      </c>
      <c r="F19" s="4" t="n">
        <v>120</v>
      </c>
      <c r="G19" s="4" t="n">
        <v>200</v>
      </c>
      <c r="H19" s="4" t="s">
        <v>74</v>
      </c>
      <c r="I19" s="4" t="n">
        <v>80</v>
      </c>
      <c r="J19" s="6" t="n">
        <v>0.09</v>
      </c>
      <c r="K19" s="6" t="n">
        <v>0.21</v>
      </c>
      <c r="L19" s="4" t="s">
        <v>990</v>
      </c>
    </row>
    <row r="20" customFormat="false" ht="15" hidden="false" customHeight="false" outlineLevel="0" collapsed="false">
      <c r="A20" s="5" t="s">
        <v>728</v>
      </c>
      <c r="B20" s="4" t="s">
        <v>726</v>
      </c>
      <c r="C20" s="4" t="n">
        <v>2</v>
      </c>
      <c r="D20" s="6" t="n">
        <v>0.69</v>
      </c>
      <c r="E20" s="6" t="n">
        <f aca="false">C20*D20</f>
        <v>1.38</v>
      </c>
      <c r="F20" s="4" t="n">
        <v>250</v>
      </c>
      <c r="G20" s="4" t="n">
        <v>400</v>
      </c>
      <c r="H20" s="4" t="s">
        <v>74</v>
      </c>
      <c r="I20" s="4" t="n">
        <v>150</v>
      </c>
      <c r="J20" s="6" t="n">
        <v>0</v>
      </c>
      <c r="K20" s="6" t="n">
        <v>0.5175</v>
      </c>
      <c r="L20" s="4" t="s">
        <v>991</v>
      </c>
    </row>
    <row r="21" customFormat="false" ht="15" hidden="false" customHeight="false" outlineLevel="0" collapsed="false">
      <c r="A21" s="5" t="s">
        <v>811</v>
      </c>
      <c r="B21" s="4" t="s">
        <v>726</v>
      </c>
      <c r="C21" s="4" t="n">
        <v>1</v>
      </c>
      <c r="D21" s="6" t="n">
        <v>1.19</v>
      </c>
      <c r="E21" s="6" t="n">
        <f aca="false">C21*D21</f>
        <v>1.19</v>
      </c>
      <c r="F21" s="4" t="n">
        <v>30</v>
      </c>
      <c r="G21" s="4" t="n">
        <v>60</v>
      </c>
      <c r="H21" s="4" t="s">
        <v>69</v>
      </c>
      <c r="I21" s="4" t="n">
        <v>30</v>
      </c>
      <c r="J21" s="6" t="n">
        <v>0</v>
      </c>
      <c r="K21" s="6" t="n">
        <v>0.595</v>
      </c>
      <c r="L21" s="4" t="s">
        <v>956</v>
      </c>
    </row>
    <row r="22" customFormat="false" ht="15" hidden="false" customHeight="false" outlineLevel="0" collapsed="false">
      <c r="A22" s="5" t="s">
        <v>730</v>
      </c>
      <c r="B22" s="4" t="s">
        <v>726</v>
      </c>
      <c r="C22" s="4" t="n">
        <v>1</v>
      </c>
      <c r="D22" s="6" t="n">
        <v>1.69</v>
      </c>
      <c r="E22" s="6" t="n">
        <f aca="false">C22*D22</f>
        <v>1.69</v>
      </c>
      <c r="F22" s="4" t="n">
        <v>220</v>
      </c>
      <c r="G22" s="4" t="n">
        <v>330</v>
      </c>
      <c r="H22" s="4" t="s">
        <v>69</v>
      </c>
      <c r="I22" s="4" t="n">
        <v>110</v>
      </c>
      <c r="J22" s="6" t="n">
        <v>0</v>
      </c>
      <c r="K22" s="6" t="n">
        <v>0.563333333333333</v>
      </c>
      <c r="L22" s="4" t="s">
        <v>953</v>
      </c>
    </row>
    <row r="23" customFormat="false" ht="15" hidden="false" customHeight="false" outlineLevel="0" collapsed="false">
      <c r="A23" s="5" t="s">
        <v>857</v>
      </c>
      <c r="B23" s="4" t="s">
        <v>817</v>
      </c>
      <c r="C23" s="4" t="n">
        <v>2</v>
      </c>
      <c r="D23" s="6" t="n">
        <v>1.69</v>
      </c>
      <c r="E23" s="6" t="n">
        <f aca="false">C23*D23</f>
        <v>3.38</v>
      </c>
      <c r="F23" s="4" t="n">
        <v>500</v>
      </c>
      <c r="G23" s="4" t="n">
        <v>600</v>
      </c>
      <c r="H23" s="4" t="s">
        <v>69</v>
      </c>
      <c r="I23" s="4" t="n">
        <v>100</v>
      </c>
      <c r="J23" s="8" t="n">
        <v>0.563333333333333</v>
      </c>
      <c r="K23" s="6" t="n">
        <v>0</v>
      </c>
      <c r="L23" s="4" t="s">
        <v>956</v>
      </c>
    </row>
    <row r="24" customFormat="false" ht="15" hidden="false" customHeight="false" outlineLevel="0" collapsed="false">
      <c r="A24" s="5" t="s">
        <v>734</v>
      </c>
      <c r="B24" s="4" t="s">
        <v>732</v>
      </c>
      <c r="C24" s="4" t="n">
        <v>1</v>
      </c>
      <c r="D24" s="6" t="n">
        <v>2.69</v>
      </c>
      <c r="E24" s="6" t="n">
        <f aca="false">C24*D24</f>
        <v>2.69</v>
      </c>
      <c r="F24" s="4" t="n">
        <v>310</v>
      </c>
      <c r="G24" s="4" t="n">
        <v>1000</v>
      </c>
      <c r="H24" s="4" t="s">
        <v>69</v>
      </c>
      <c r="I24" s="4" t="n">
        <v>690</v>
      </c>
      <c r="J24" s="6" t="n">
        <v>0.37122</v>
      </c>
      <c r="K24" s="6" t="n">
        <v>1.48488</v>
      </c>
      <c r="L24" s="4" t="s">
        <v>992</v>
      </c>
    </row>
    <row r="25" customFormat="false" ht="15" hidden="false" customHeight="false" outlineLevel="0" collapsed="false">
      <c r="A25" s="5" t="s">
        <v>736</v>
      </c>
      <c r="B25" s="4" t="s">
        <v>732</v>
      </c>
      <c r="C25" s="4" t="n">
        <v>3</v>
      </c>
      <c r="D25" s="6" t="n">
        <v>0.99</v>
      </c>
      <c r="E25" s="6" t="n">
        <f aca="false">C25*D25</f>
        <v>2.97</v>
      </c>
      <c r="F25" s="4" t="n">
        <v>350</v>
      </c>
      <c r="G25" s="4" t="n">
        <v>450</v>
      </c>
      <c r="H25" s="4" t="s">
        <v>69</v>
      </c>
      <c r="I25" s="4" t="n">
        <v>100</v>
      </c>
      <c r="J25" s="8" t="n">
        <v>0.66</v>
      </c>
      <c r="K25" s="6" t="n">
        <v>0</v>
      </c>
      <c r="L25" s="4" t="s">
        <v>993</v>
      </c>
    </row>
    <row r="26" customFormat="false" ht="15" hidden="false" customHeight="false" outlineLevel="0" collapsed="false">
      <c r="A26" s="5" t="s">
        <v>994</v>
      </c>
      <c r="B26" s="4" t="s">
        <v>738</v>
      </c>
      <c r="C26" s="4" t="n">
        <v>1</v>
      </c>
      <c r="D26" s="6" t="n">
        <v>8.99</v>
      </c>
      <c r="E26" s="6" t="n">
        <f aca="false">C26*D26</f>
        <v>8.99</v>
      </c>
      <c r="F26" s="4" t="n">
        <v>600</v>
      </c>
      <c r="G26" s="4" t="n">
        <v>720</v>
      </c>
      <c r="H26" s="4" t="s">
        <v>69</v>
      </c>
      <c r="I26" s="4" t="n">
        <v>120</v>
      </c>
      <c r="J26" s="8" t="n">
        <v>1.49833333333333</v>
      </c>
      <c r="K26" s="6" t="n">
        <v>0</v>
      </c>
      <c r="L26" s="4" t="s">
        <v>995</v>
      </c>
    </row>
    <row r="27" customFormat="false" ht="15" hidden="false" customHeight="false" outlineLevel="0" collapsed="false">
      <c r="A27" s="5" t="s">
        <v>914</v>
      </c>
      <c r="B27" s="4" t="s">
        <v>742</v>
      </c>
      <c r="C27" s="4" t="n">
        <v>1</v>
      </c>
      <c r="D27" s="6" t="n">
        <v>1.29</v>
      </c>
      <c r="E27" s="6" t="n">
        <f aca="false">C27*D27</f>
        <v>1.29</v>
      </c>
      <c r="F27" s="4" t="n">
        <v>120</v>
      </c>
      <c r="G27" s="4" t="n">
        <v>230</v>
      </c>
      <c r="H27" s="4" t="s">
        <v>69</v>
      </c>
      <c r="I27" s="4" t="n">
        <v>110</v>
      </c>
      <c r="J27" s="8" t="n">
        <v>0.616956521739131</v>
      </c>
      <c r="K27" s="6" t="n">
        <v>0</v>
      </c>
      <c r="L27" s="4" t="s">
        <v>990</v>
      </c>
    </row>
    <row r="28" customFormat="false" ht="15" hidden="false" customHeight="false" outlineLevel="0" collapsed="false">
      <c r="A28" s="5" t="s">
        <v>959</v>
      </c>
      <c r="B28" s="4" t="s">
        <v>742</v>
      </c>
      <c r="C28" s="4" t="n">
        <v>1</v>
      </c>
      <c r="D28" s="6" t="n">
        <v>2.19</v>
      </c>
      <c r="E28" s="6" t="n">
        <f aca="false">C28*D28</f>
        <v>2.19</v>
      </c>
      <c r="F28" s="4" t="n">
        <v>260</v>
      </c>
      <c r="G28" s="4" t="n">
        <v>320</v>
      </c>
      <c r="H28" s="4" t="s">
        <v>69</v>
      </c>
      <c r="I28" s="4" t="n">
        <v>60</v>
      </c>
      <c r="J28" s="6" t="n">
        <v>0.2874375</v>
      </c>
      <c r="K28" s="6" t="n">
        <v>0.1231875</v>
      </c>
      <c r="L28" s="4" t="s">
        <v>953</v>
      </c>
    </row>
    <row r="29" customFormat="false" ht="15" hidden="false" customHeight="false" outlineLevel="0" collapsed="false">
      <c r="A29" s="5" t="s">
        <v>996</v>
      </c>
      <c r="B29" s="4" t="s">
        <v>742</v>
      </c>
      <c r="C29" s="4" t="n">
        <v>1</v>
      </c>
      <c r="D29" s="6" t="n">
        <v>2.35</v>
      </c>
      <c r="E29" s="6" t="n">
        <f aca="false">C29*D29</f>
        <v>2.35</v>
      </c>
      <c r="F29" s="4" t="n">
        <v>800</v>
      </c>
      <c r="G29" s="4" t="n">
        <v>1200</v>
      </c>
      <c r="H29" s="4" t="s">
        <v>69</v>
      </c>
      <c r="I29" s="4" t="n">
        <v>400</v>
      </c>
      <c r="J29" s="6" t="n">
        <v>0.235</v>
      </c>
      <c r="K29" s="6" t="n">
        <v>0.548333333333333</v>
      </c>
      <c r="L29" s="4" t="s">
        <v>993</v>
      </c>
    </row>
    <row r="30" customFormat="false" ht="15" hidden="false" customHeight="false" outlineLevel="0" collapsed="false">
      <c r="A30" s="5" t="s">
        <v>744</v>
      </c>
      <c r="B30" s="4" t="s">
        <v>742</v>
      </c>
      <c r="C30" s="4" t="n">
        <v>1</v>
      </c>
      <c r="D30" s="6" t="n">
        <v>1.29</v>
      </c>
      <c r="E30" s="6" t="n">
        <f aca="false">C30*D30</f>
        <v>1.29</v>
      </c>
      <c r="F30" s="4" t="n">
        <v>180</v>
      </c>
      <c r="G30" s="4" t="n">
        <v>1000</v>
      </c>
      <c r="H30" s="4" t="s">
        <v>69</v>
      </c>
      <c r="I30" s="4" t="n">
        <v>820</v>
      </c>
      <c r="J30" s="6" t="n">
        <v>0</v>
      </c>
      <c r="K30" s="6" t="n">
        <v>1.0578</v>
      </c>
      <c r="L30" s="4" t="s">
        <v>997</v>
      </c>
    </row>
    <row r="31" customFormat="false" ht="15" hidden="false" customHeight="false" outlineLevel="0" collapsed="false">
      <c r="A31" s="5" t="s">
        <v>746</v>
      </c>
      <c r="B31" s="4" t="s">
        <v>742</v>
      </c>
      <c r="C31" s="4" t="n">
        <v>1</v>
      </c>
      <c r="D31" s="6" t="n">
        <v>0.75</v>
      </c>
      <c r="E31" s="6" t="n">
        <f aca="false">C31*D31</f>
        <v>0.75</v>
      </c>
      <c r="F31" s="4" t="n">
        <v>440</v>
      </c>
      <c r="G31" s="4" t="n">
        <v>500</v>
      </c>
      <c r="H31" s="4" t="s">
        <v>69</v>
      </c>
      <c r="I31" s="4" t="n">
        <v>60</v>
      </c>
      <c r="J31" s="6" t="n">
        <v>0</v>
      </c>
      <c r="K31" s="6" t="n">
        <v>0.09</v>
      </c>
      <c r="L31" s="4" t="s">
        <v>998</v>
      </c>
    </row>
    <row r="32" customFormat="false" ht="15" hidden="false" customHeight="false" outlineLevel="0" collapsed="false">
      <c r="A32" s="9" t="s">
        <v>748</v>
      </c>
      <c r="E32" s="17" t="n">
        <f aca="false">SUM(E16:E31)</f>
        <v>37.18</v>
      </c>
      <c r="J32" s="17" t="n">
        <f aca="false">SUM(J16:J31)</f>
        <v>6.18702513285024</v>
      </c>
      <c r="K32" s="17" t="n">
        <f aca="false">SUM(K16:K31)</f>
        <v>6.55317861111111</v>
      </c>
    </row>
    <row r="33" customFormat="false" ht="15" hidden="false" customHeight="false" outlineLevel="0" collapsed="false">
      <c r="A33" s="18" t="s">
        <v>51</v>
      </c>
      <c r="B33" s="18" t="s">
        <v>749</v>
      </c>
      <c r="C33" s="4" t="n">
        <v>1</v>
      </c>
      <c r="D33" s="6" t="n">
        <v>3.99</v>
      </c>
      <c r="E33" s="6" t="n">
        <f aca="false">C33*D33</f>
        <v>3.99</v>
      </c>
      <c r="L33" s="4" t="s">
        <v>750</v>
      </c>
    </row>
    <row r="34" customFormat="false" ht="15" hidden="false" customHeight="false" outlineLevel="0" collapsed="false">
      <c r="A34" s="18" t="s">
        <v>20</v>
      </c>
      <c r="B34" s="18" t="s">
        <v>749</v>
      </c>
      <c r="C34" s="4" t="n">
        <v>1</v>
      </c>
      <c r="D34" s="6" t="n">
        <v>2.15</v>
      </c>
      <c r="E34" s="6" t="n">
        <f aca="false">C34*D34</f>
        <v>2.15</v>
      </c>
      <c r="L34" s="4" t="s">
        <v>751</v>
      </c>
    </row>
    <row r="35" customFormat="false" ht="15" hidden="false" customHeight="false" outlineLevel="0" collapsed="false">
      <c r="A35" s="9" t="s">
        <v>752</v>
      </c>
      <c r="E35" s="17" t="n">
        <f aca="false">E32+E33+E34</f>
        <v>43.32</v>
      </c>
    </row>
    <row r="37" customFormat="false" ht="16.15" hidden="false" customHeight="false" outlineLevel="0" collapsed="false">
      <c r="A37" s="1" t="s">
        <v>753</v>
      </c>
    </row>
    <row r="38" customFormat="false" ht="26.85" hidden="false" customHeight="false" outlineLevel="0" collapsed="false">
      <c r="A38" s="3" t="s">
        <v>754</v>
      </c>
      <c r="B38" s="3" t="s">
        <v>708</v>
      </c>
      <c r="C38" s="3" t="s">
        <v>63</v>
      </c>
      <c r="D38" s="3" t="s">
        <v>755</v>
      </c>
      <c r="E38" s="3" t="s">
        <v>711</v>
      </c>
      <c r="F38" s="3" t="s">
        <v>756</v>
      </c>
      <c r="G38" s="3" t="s">
        <v>757</v>
      </c>
      <c r="H38" s="3" t="s">
        <v>64</v>
      </c>
      <c r="I38" s="3" t="s">
        <v>758</v>
      </c>
      <c r="J38" s="3"/>
      <c r="K38" s="3" t="s">
        <v>759</v>
      </c>
      <c r="L38" s="3" t="s">
        <v>717</v>
      </c>
    </row>
    <row r="39" customFormat="false" ht="15" hidden="false" customHeight="false" outlineLevel="0" collapsed="false">
      <c r="A39" s="19" t="s">
        <v>214</v>
      </c>
      <c r="B39" s="10" t="s">
        <v>760</v>
      </c>
      <c r="C39" s="4" t="n">
        <v>1</v>
      </c>
      <c r="D39" s="6" t="n">
        <v>1.29</v>
      </c>
      <c r="E39" s="6" t="n">
        <f aca="false">C39*D39</f>
        <v>1.29</v>
      </c>
      <c r="F39" s="4" t="n">
        <v>18</v>
      </c>
      <c r="G39" s="4" t="n">
        <v>55</v>
      </c>
      <c r="H39" s="4" t="s">
        <v>69</v>
      </c>
      <c r="I39" s="4" t="n">
        <v>37</v>
      </c>
      <c r="K39" s="6" t="n">
        <f aca="false">D39*I39/G39</f>
        <v>0.867818181818182</v>
      </c>
      <c r="L39" s="4" t="s">
        <v>999</v>
      </c>
    </row>
    <row r="40" customFormat="false" ht="15" hidden="false" customHeight="false" outlineLevel="0" collapsed="false">
      <c r="A40" s="19" t="s">
        <v>335</v>
      </c>
      <c r="B40" s="10" t="s">
        <v>760</v>
      </c>
      <c r="C40" s="4" t="n">
        <v>1</v>
      </c>
      <c r="D40" s="6" t="n">
        <v>1.8</v>
      </c>
      <c r="E40" s="6" t="n">
        <f aca="false">C40*D40</f>
        <v>1.8</v>
      </c>
      <c r="F40" s="4" t="n">
        <v>2</v>
      </c>
      <c r="G40" s="4" t="n">
        <v>12</v>
      </c>
      <c r="H40" s="4" t="s">
        <v>69</v>
      </c>
      <c r="I40" s="4" t="n">
        <v>10</v>
      </c>
      <c r="K40" s="6" t="n">
        <f aca="false">D40*I40/G40</f>
        <v>1.5</v>
      </c>
      <c r="L40" s="4" t="s">
        <v>956</v>
      </c>
    </row>
    <row r="41" customFormat="false" ht="15" hidden="false" customHeight="false" outlineLevel="0" collapsed="false">
      <c r="A41" s="19" t="s">
        <v>308</v>
      </c>
      <c r="B41" s="10" t="s">
        <v>760</v>
      </c>
      <c r="C41" s="4" t="n">
        <v>1</v>
      </c>
      <c r="D41" s="6" t="n">
        <v>2.45</v>
      </c>
      <c r="E41" s="6" t="n">
        <f aca="false">C41*D41</f>
        <v>2.45</v>
      </c>
      <c r="F41" s="4" t="n">
        <v>20</v>
      </c>
      <c r="G41" s="4" t="n">
        <v>250</v>
      </c>
      <c r="H41" s="4" t="s">
        <v>69</v>
      </c>
      <c r="I41" s="4" t="n">
        <v>230</v>
      </c>
      <c r="K41" s="6" t="n">
        <f aca="false">D41*I41/G41</f>
        <v>2.254</v>
      </c>
      <c r="L41" s="4" t="s">
        <v>997</v>
      </c>
    </row>
    <row r="42" customFormat="false" ht="15" hidden="false" customHeight="false" outlineLevel="0" collapsed="false">
      <c r="A42" s="19" t="s">
        <v>221</v>
      </c>
      <c r="B42" s="10" t="s">
        <v>760</v>
      </c>
      <c r="C42" s="4" t="n">
        <v>1</v>
      </c>
      <c r="D42" s="6" t="n">
        <v>1.79</v>
      </c>
      <c r="E42" s="6" t="n">
        <f aca="false">C42*D42</f>
        <v>1.79</v>
      </c>
      <c r="F42" s="4" t="n">
        <v>10</v>
      </c>
      <c r="G42" s="4" t="n">
        <v>180</v>
      </c>
      <c r="H42" s="4" t="s">
        <v>69</v>
      </c>
      <c r="I42" s="4" t="n">
        <v>170</v>
      </c>
      <c r="K42" s="6" t="n">
        <f aca="false">D42*I42/G42</f>
        <v>1.69055555555556</v>
      </c>
      <c r="L42" s="4" t="s">
        <v>990</v>
      </c>
    </row>
    <row r="43" customFormat="false" ht="15" hidden="false" customHeight="false" outlineLevel="0" collapsed="false">
      <c r="A43" s="19" t="s">
        <v>333</v>
      </c>
      <c r="B43" s="10" t="s">
        <v>760</v>
      </c>
      <c r="C43" s="4" t="n">
        <v>1</v>
      </c>
      <c r="D43" s="6" t="n">
        <v>1.99</v>
      </c>
      <c r="E43" s="6" t="n">
        <f aca="false">C43*D43</f>
        <v>1.99</v>
      </c>
      <c r="F43" s="4" t="n">
        <v>3</v>
      </c>
      <c r="G43" s="4" t="n">
        <v>30</v>
      </c>
      <c r="H43" s="4" t="s">
        <v>69</v>
      </c>
      <c r="I43" s="4" t="n">
        <v>27</v>
      </c>
      <c r="K43" s="6" t="n">
        <f aca="false">D43*I43/G43</f>
        <v>1.791</v>
      </c>
      <c r="L43" s="4" t="s">
        <v>958</v>
      </c>
    </row>
    <row r="44" customFormat="false" ht="15" hidden="false" customHeight="false" outlineLevel="0" collapsed="false">
      <c r="A44" s="19" t="s">
        <v>87</v>
      </c>
      <c r="B44" s="10" t="s">
        <v>760</v>
      </c>
      <c r="C44" s="4" t="n">
        <v>1</v>
      </c>
      <c r="D44" s="6" t="n">
        <v>0.95</v>
      </c>
      <c r="E44" s="6" t="n">
        <f aca="false">C44*D44</f>
        <v>0.95</v>
      </c>
      <c r="F44" s="4" t="n">
        <v>10</v>
      </c>
      <c r="G44" s="4" t="n">
        <v>1000</v>
      </c>
      <c r="H44" s="4" t="s">
        <v>69</v>
      </c>
      <c r="I44" s="4" t="n">
        <v>990</v>
      </c>
      <c r="K44" s="6" t="n">
        <f aca="false">D44*I44/G44</f>
        <v>0.9405</v>
      </c>
      <c r="L44" s="4" t="s">
        <v>990</v>
      </c>
    </row>
    <row r="45" customFormat="false" ht="15" hidden="false" customHeight="false" outlineLevel="0" collapsed="false">
      <c r="A45" s="19" t="s">
        <v>90</v>
      </c>
      <c r="B45" s="10" t="s">
        <v>760</v>
      </c>
      <c r="C45" s="4" t="n">
        <v>1</v>
      </c>
      <c r="D45" s="6" t="n">
        <v>2.15</v>
      </c>
      <c r="E45" s="6" t="n">
        <f aca="false">C45*D45</f>
        <v>2.15</v>
      </c>
      <c r="F45" s="4" t="n">
        <v>76</v>
      </c>
      <c r="G45" s="4" t="n">
        <v>1000</v>
      </c>
      <c r="H45" s="4" t="s">
        <v>74</v>
      </c>
      <c r="I45" s="4" t="n">
        <v>924</v>
      </c>
      <c r="K45" s="6" t="n">
        <f aca="false">D45*I45/G45</f>
        <v>1.9866</v>
      </c>
      <c r="L45" s="4" t="s">
        <v>1000</v>
      </c>
    </row>
    <row r="46" customFormat="false" ht="15" hidden="false" customHeight="false" outlineLevel="0" collapsed="false">
      <c r="A46" s="19" t="s">
        <v>340</v>
      </c>
      <c r="B46" s="10" t="s">
        <v>760</v>
      </c>
      <c r="C46" s="4" t="n">
        <v>1</v>
      </c>
      <c r="D46" s="6" t="n">
        <v>1.99</v>
      </c>
      <c r="E46" s="6" t="n">
        <f aca="false">C46*D46</f>
        <v>1.99</v>
      </c>
      <c r="F46" s="4" t="n">
        <v>1</v>
      </c>
      <c r="G46" s="4" t="n">
        <v>5</v>
      </c>
      <c r="H46" s="4" t="s">
        <v>69</v>
      </c>
      <c r="I46" s="4" t="n">
        <v>4</v>
      </c>
      <c r="K46" s="6" t="n">
        <f aca="false">D46*I46/G46</f>
        <v>1.592</v>
      </c>
      <c r="L46" s="4" t="s">
        <v>956</v>
      </c>
    </row>
    <row r="47" customFormat="false" ht="15" hidden="false" customHeight="false" outlineLevel="0" collapsed="false">
      <c r="A47" s="19" t="s">
        <v>526</v>
      </c>
      <c r="B47" s="10" t="s">
        <v>760</v>
      </c>
      <c r="C47" s="4" t="n">
        <v>1</v>
      </c>
      <c r="D47" s="6" t="n">
        <v>2.15</v>
      </c>
      <c r="E47" s="6" t="n">
        <f aca="false">C47*D47</f>
        <v>2.15</v>
      </c>
      <c r="F47" s="4" t="n">
        <v>10</v>
      </c>
      <c r="G47" s="4" t="n">
        <v>250</v>
      </c>
      <c r="H47" s="4" t="s">
        <v>69</v>
      </c>
      <c r="I47" s="4" t="n">
        <v>240</v>
      </c>
      <c r="K47" s="6" t="n">
        <f aca="false">D47*I47/G47</f>
        <v>2.064</v>
      </c>
      <c r="L47" s="4" t="s">
        <v>884</v>
      </c>
    </row>
    <row r="48" customFormat="false" ht="15" hidden="false" customHeight="false" outlineLevel="0" collapsed="false">
      <c r="A48" s="19" t="s">
        <v>505</v>
      </c>
      <c r="B48" s="10" t="s">
        <v>760</v>
      </c>
      <c r="C48" s="4" t="n">
        <v>1</v>
      </c>
      <c r="D48" s="6" t="n">
        <v>1.89</v>
      </c>
      <c r="E48" s="6" t="n">
        <f aca="false">C48*D48</f>
        <v>1.89</v>
      </c>
      <c r="F48" s="4" t="n">
        <v>2</v>
      </c>
      <c r="G48" s="4" t="n">
        <v>12</v>
      </c>
      <c r="H48" s="4" t="s">
        <v>69</v>
      </c>
      <c r="I48" s="4" t="n">
        <v>10</v>
      </c>
      <c r="K48" s="6" t="n">
        <f aca="false">D48*I48/G48</f>
        <v>1.575</v>
      </c>
      <c r="L48" s="4" t="s">
        <v>1001</v>
      </c>
    </row>
    <row r="49" customFormat="false" ht="15" hidden="false" customHeight="false" outlineLevel="0" collapsed="false">
      <c r="A49" s="19" t="s">
        <v>331</v>
      </c>
      <c r="B49" s="10" t="s">
        <v>760</v>
      </c>
      <c r="C49" s="4" t="n">
        <v>1</v>
      </c>
      <c r="D49" s="6" t="n">
        <v>1.99</v>
      </c>
      <c r="E49" s="6" t="n">
        <f aca="false">C49*D49</f>
        <v>1.99</v>
      </c>
      <c r="F49" s="4" t="n">
        <v>4</v>
      </c>
      <c r="G49" s="4" t="n">
        <v>40</v>
      </c>
      <c r="H49" s="4" t="s">
        <v>69</v>
      </c>
      <c r="I49" s="4" t="n">
        <v>36</v>
      </c>
      <c r="K49" s="6" t="n">
        <f aca="false">D49*I49/G49</f>
        <v>1.791</v>
      </c>
      <c r="L49" s="4" t="s">
        <v>1002</v>
      </c>
    </row>
    <row r="50" customFormat="false" ht="15" hidden="false" customHeight="false" outlineLevel="0" collapsed="false">
      <c r="A50" s="19" t="s">
        <v>178</v>
      </c>
      <c r="B50" s="10" t="s">
        <v>760</v>
      </c>
      <c r="C50" s="4" t="n">
        <v>1</v>
      </c>
      <c r="D50" s="6" t="n">
        <v>1.9</v>
      </c>
      <c r="E50" s="6" t="n">
        <f aca="false">C50*D50</f>
        <v>1.9</v>
      </c>
      <c r="F50" s="4" t="n">
        <v>4</v>
      </c>
      <c r="G50" s="4" t="n">
        <v>20</v>
      </c>
      <c r="H50" s="4" t="s">
        <v>69</v>
      </c>
      <c r="I50" s="4" t="n">
        <v>16</v>
      </c>
      <c r="K50" s="6" t="n">
        <f aca="false">D50*I50/G50</f>
        <v>1.52</v>
      </c>
      <c r="L50" s="4" t="s">
        <v>1003</v>
      </c>
    </row>
    <row r="51" customFormat="false" ht="15" hidden="false" customHeight="false" outlineLevel="0" collapsed="false">
      <c r="A51" s="19" t="s">
        <v>97</v>
      </c>
      <c r="B51" s="10" t="s">
        <v>760</v>
      </c>
      <c r="C51" s="4" t="n">
        <v>1</v>
      </c>
      <c r="D51" s="6" t="n">
        <v>0.5</v>
      </c>
      <c r="E51" s="6" t="n">
        <f aca="false">C51*D51</f>
        <v>0.5</v>
      </c>
      <c r="F51" s="4" t="n">
        <v>14</v>
      </c>
      <c r="G51" s="4" t="n">
        <v>100</v>
      </c>
      <c r="H51" s="4" t="s">
        <v>69</v>
      </c>
      <c r="I51" s="4" t="n">
        <v>86</v>
      </c>
      <c r="K51" s="6" t="n">
        <f aca="false">D51*I51/G51</f>
        <v>0.43</v>
      </c>
      <c r="L51" s="4" t="s">
        <v>992</v>
      </c>
    </row>
    <row r="52" customFormat="false" ht="15" hidden="false" customHeight="false" outlineLevel="0" collapsed="false">
      <c r="A52" s="19" t="s">
        <v>506</v>
      </c>
      <c r="B52" s="10" t="s">
        <v>760</v>
      </c>
      <c r="C52" s="4" t="n">
        <v>1</v>
      </c>
      <c r="D52" s="6" t="n">
        <v>1.09</v>
      </c>
      <c r="E52" s="6" t="n">
        <f aca="false">C52*D52</f>
        <v>1.09</v>
      </c>
      <c r="F52" s="4" t="n">
        <v>1</v>
      </c>
      <c r="G52" s="4" t="n">
        <v>1000</v>
      </c>
      <c r="H52" s="4" t="s">
        <v>69</v>
      </c>
      <c r="I52" s="4" t="n">
        <v>999</v>
      </c>
      <c r="K52" s="6" t="n">
        <f aca="false">D52*I52/G52</f>
        <v>1.08891</v>
      </c>
      <c r="L52" s="4" t="s">
        <v>953</v>
      </c>
    </row>
    <row r="53" customFormat="false" ht="15" hidden="false" customHeight="false" outlineLevel="0" collapsed="false">
      <c r="A53" s="19" t="s">
        <v>337</v>
      </c>
      <c r="B53" s="10" t="s">
        <v>760</v>
      </c>
      <c r="C53" s="4" t="n">
        <v>1</v>
      </c>
      <c r="D53" s="6" t="n">
        <v>1.99</v>
      </c>
      <c r="E53" s="6" t="n">
        <f aca="false">C53*D53</f>
        <v>1.99</v>
      </c>
      <c r="F53" s="4" t="n">
        <v>1</v>
      </c>
      <c r="G53" s="4" t="n">
        <v>15</v>
      </c>
      <c r="H53" s="4" t="s">
        <v>69</v>
      </c>
      <c r="I53" s="4" t="n">
        <v>14</v>
      </c>
      <c r="K53" s="6" t="n">
        <f aca="false">D53*I53/G53</f>
        <v>1.85733333333333</v>
      </c>
      <c r="L53" s="4" t="s">
        <v>956</v>
      </c>
    </row>
    <row r="54" customFormat="false" ht="15" hidden="false" customHeight="false" outlineLevel="0" collapsed="false">
      <c r="A54" s="9" t="s">
        <v>764</v>
      </c>
      <c r="E54" s="17" t="n">
        <f aca="false">SUM(E39:E53)</f>
        <v>25.92</v>
      </c>
    </row>
    <row r="56" customFormat="false" ht="16.15" hidden="false" customHeight="false" outlineLevel="0" collapsed="false">
      <c r="A56" s="1" t="s">
        <v>765</v>
      </c>
    </row>
    <row r="57" customFormat="false" ht="15" hidden="false" customHeight="false" outlineLevel="0" collapsed="false">
      <c r="A57" s="4" t="s">
        <v>766</v>
      </c>
      <c r="E57" s="6" t="n">
        <f aca="false">E35</f>
        <v>43.32</v>
      </c>
    </row>
    <row r="58" customFormat="false" ht="15" hidden="false" customHeight="false" outlineLevel="0" collapsed="false">
      <c r="A58" s="4" t="s">
        <v>767</v>
      </c>
      <c r="E58" s="6" t="n">
        <f aca="false">E54</f>
        <v>25.92</v>
      </c>
    </row>
    <row r="59" customFormat="false" ht="15" hidden="false" customHeight="false" outlineLevel="0" collapsed="false">
      <c r="A59" s="9" t="s">
        <v>768</v>
      </c>
      <c r="E59" s="17" t="n">
        <f aca="false">E35+E54</f>
        <v>69.24</v>
      </c>
    </row>
    <row r="60" customFormat="false" ht="15" hidden="false" customHeight="false" outlineLevel="0" collapsed="false">
      <c r="A60" s="4" t="s">
        <v>769</v>
      </c>
      <c r="E60" s="6" t="n">
        <v>55</v>
      </c>
    </row>
    <row r="61" customFormat="false" ht="15" hidden="false" customHeight="false" outlineLevel="0" collapsed="false">
      <c r="A61" s="4" t="s">
        <v>770</v>
      </c>
      <c r="E61" s="6" t="n">
        <f aca="false">E60-E59</f>
        <v>-14.24</v>
      </c>
    </row>
    <row r="62" customFormat="false" ht="15" hidden="false" customHeight="false" outlineLevel="0" collapsed="false">
      <c r="A62" s="4" t="s">
        <v>771</v>
      </c>
      <c r="E62" s="6" t="n">
        <f aca="false">J32</f>
        <v>6.18702513285024</v>
      </c>
    </row>
    <row r="63" customFormat="false" ht="15" hidden="false" customHeight="false" outlineLevel="0" collapsed="false">
      <c r="A63" s="4" t="s">
        <v>772</v>
      </c>
      <c r="E63" s="20" t="n">
        <f aca="false">J32/E35</f>
        <v>0.142821448126737</v>
      </c>
    </row>
    <row r="64" customFormat="false" ht="15" hidden="false" customHeight="false" outlineLevel="0" collapsed="false">
      <c r="A64" s="4" t="s">
        <v>773</v>
      </c>
      <c r="E64" s="6" t="n">
        <f aca="false">K32</f>
        <v>6.55317861111111</v>
      </c>
    </row>
    <row r="65" customFormat="false" ht="15" hidden="false" customHeight="false" outlineLevel="0" collapsed="false">
      <c r="A65" s="4" t="s">
        <v>774</v>
      </c>
      <c r="E65" s="6" t="n">
        <f aca="false">(E35+E54)/14</f>
        <v>4.94571428571429</v>
      </c>
    </row>
    <row r="66" customFormat="false" ht="15" hidden="false" customHeight="false" outlineLevel="0" collapsed="false">
      <c r="A66" s="4" t="s">
        <v>775</v>
      </c>
      <c r="E66" s="6" t="n">
        <f aca="false">E35</f>
        <v>43.32</v>
      </c>
    </row>
    <row r="69" customFormat="false" ht="16.15" hidden="false" customHeight="false" outlineLevel="0" collapsed="false">
      <c r="A69" s="1" t="s">
        <v>776</v>
      </c>
    </row>
    <row r="70" customFormat="false" ht="15" hidden="false" customHeight="false" outlineLevel="0" collapsed="false">
      <c r="A70" s="21" t="s">
        <v>1004</v>
      </c>
    </row>
    <row r="71" customFormat="false" ht="45" hidden="false" customHeight="true" outlineLevel="0" collapsed="false">
      <c r="A71" s="9" t="s">
        <v>62</v>
      </c>
      <c r="B71" s="5" t="s">
        <v>1005</v>
      </c>
      <c r="C71" s="5"/>
      <c r="D71" s="5"/>
      <c r="E71" s="5"/>
      <c r="F71" s="5"/>
      <c r="G71" s="5"/>
      <c r="H71" s="5"/>
      <c r="I71" s="5"/>
      <c r="J71" s="5"/>
      <c r="K71" s="5"/>
      <c r="L71" s="5"/>
    </row>
    <row r="72" customFormat="false" ht="30" hidden="false" customHeight="true" outlineLevel="0" collapsed="false">
      <c r="A72" s="4" t="s">
        <v>779</v>
      </c>
      <c r="B72" s="5" t="s">
        <v>225</v>
      </c>
      <c r="C72" s="5"/>
      <c r="D72" s="5"/>
      <c r="E72" s="5"/>
      <c r="F72" s="5"/>
      <c r="G72" s="5"/>
      <c r="H72" s="5"/>
      <c r="I72" s="5"/>
      <c r="J72" s="5"/>
      <c r="K72" s="5"/>
      <c r="L72" s="5"/>
    </row>
    <row r="73" customFormat="false" ht="18" hidden="false" customHeight="true" outlineLevel="0" collapsed="false">
      <c r="A73" s="4" t="s">
        <v>780</v>
      </c>
      <c r="B73" s="5" t="s">
        <v>226</v>
      </c>
      <c r="C73" s="5"/>
      <c r="D73" s="5"/>
      <c r="E73" s="5"/>
      <c r="F73" s="5"/>
      <c r="G73" s="5"/>
      <c r="H73" s="5"/>
      <c r="I73" s="5"/>
      <c r="J73" s="5"/>
      <c r="K73" s="5"/>
      <c r="L73" s="5"/>
    </row>
    <row r="74" customFormat="false" ht="18" hidden="false" customHeight="true" outlineLevel="0" collapsed="false">
      <c r="A74" s="4" t="s">
        <v>781</v>
      </c>
      <c r="B74" s="5" t="s">
        <v>227</v>
      </c>
      <c r="C74" s="5"/>
      <c r="D74" s="5"/>
      <c r="E74" s="5"/>
      <c r="F74" s="5"/>
      <c r="G74" s="5"/>
      <c r="H74" s="5"/>
      <c r="I74" s="5"/>
      <c r="J74" s="5"/>
      <c r="K74" s="5"/>
      <c r="L74" s="5"/>
    </row>
    <row r="75" customFormat="false" ht="18" hidden="false" customHeight="true" outlineLevel="0" collapsed="false">
      <c r="A75" s="4" t="s">
        <v>782</v>
      </c>
      <c r="B75" s="5" t="s">
        <v>228</v>
      </c>
      <c r="C75" s="5"/>
      <c r="D75" s="5"/>
      <c r="E75" s="5"/>
      <c r="F75" s="5"/>
      <c r="G75" s="5"/>
      <c r="H75" s="5"/>
      <c r="I75" s="5"/>
      <c r="J75" s="5"/>
      <c r="K75" s="5"/>
      <c r="L75" s="5"/>
    </row>
    <row r="76" customFormat="false" ht="18" hidden="false" customHeight="true" outlineLevel="0" collapsed="false">
      <c r="A76" s="4" t="s">
        <v>783</v>
      </c>
      <c r="B76" s="5" t="s">
        <v>229</v>
      </c>
      <c r="C76" s="5"/>
      <c r="D76" s="5"/>
      <c r="E76" s="5"/>
      <c r="F76" s="5"/>
      <c r="G76" s="5"/>
      <c r="H76" s="5"/>
      <c r="I76" s="5"/>
      <c r="J76" s="5"/>
      <c r="K76" s="5"/>
      <c r="L76" s="5"/>
    </row>
    <row r="77" customFormat="false" ht="18" hidden="false" customHeight="true" outlineLevel="0" collapsed="false">
      <c r="A77" s="4" t="s">
        <v>784</v>
      </c>
      <c r="B77" s="5" t="s">
        <v>230</v>
      </c>
      <c r="C77" s="5"/>
      <c r="D77" s="5"/>
      <c r="E77" s="5"/>
      <c r="F77" s="5"/>
      <c r="G77" s="5"/>
      <c r="H77" s="5"/>
      <c r="I77" s="5"/>
      <c r="J77" s="5"/>
      <c r="K77" s="5"/>
      <c r="L77" s="5"/>
    </row>
    <row r="78" customFormat="false" ht="18" hidden="false" customHeight="true" outlineLevel="0" collapsed="false">
      <c r="A78" s="4" t="s">
        <v>785</v>
      </c>
      <c r="B78" s="5" t="s">
        <v>231</v>
      </c>
      <c r="C78" s="5"/>
      <c r="D78" s="5"/>
      <c r="E78" s="5"/>
      <c r="F78" s="5"/>
      <c r="G78" s="5"/>
      <c r="H78" s="5"/>
      <c r="I78" s="5"/>
      <c r="J78" s="5"/>
      <c r="K78" s="5"/>
      <c r="L78" s="5"/>
    </row>
    <row r="79" customFormat="false" ht="30" hidden="false" customHeight="true" outlineLevel="0" collapsed="false">
      <c r="A79" s="4" t="s">
        <v>839</v>
      </c>
      <c r="B79" s="5" t="s">
        <v>232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1" customFormat="false" ht="15" hidden="false" customHeight="false" outlineLevel="0" collapsed="false">
      <c r="A81" s="21" t="s">
        <v>1006</v>
      </c>
    </row>
    <row r="82" customFormat="false" ht="45" hidden="false" customHeight="true" outlineLevel="0" collapsed="false">
      <c r="A82" s="9" t="s">
        <v>62</v>
      </c>
      <c r="B82" s="5" t="s">
        <v>963</v>
      </c>
      <c r="C82" s="5"/>
      <c r="D82" s="5"/>
      <c r="E82" s="5"/>
      <c r="F82" s="5"/>
      <c r="G82" s="5"/>
      <c r="H82" s="5"/>
      <c r="I82" s="5"/>
      <c r="J82" s="5"/>
      <c r="K82" s="5"/>
      <c r="L82" s="5"/>
    </row>
    <row r="83" customFormat="false" ht="30" hidden="false" customHeight="true" outlineLevel="0" collapsed="false">
      <c r="A83" s="4" t="s">
        <v>779</v>
      </c>
      <c r="B83" s="5" t="s">
        <v>346</v>
      </c>
      <c r="C83" s="5"/>
      <c r="D83" s="5"/>
      <c r="E83" s="5"/>
      <c r="F83" s="5"/>
      <c r="G83" s="5"/>
      <c r="H83" s="5"/>
      <c r="I83" s="5"/>
      <c r="J83" s="5"/>
      <c r="K83" s="5"/>
      <c r="L83" s="5"/>
    </row>
    <row r="84" customFormat="false" ht="18" hidden="false" customHeight="true" outlineLevel="0" collapsed="false">
      <c r="A84" s="4" t="s">
        <v>780</v>
      </c>
      <c r="B84" s="5" t="s">
        <v>347</v>
      </c>
      <c r="C84" s="5"/>
      <c r="D84" s="5"/>
      <c r="E84" s="5"/>
      <c r="F84" s="5"/>
      <c r="G84" s="5"/>
      <c r="H84" s="5"/>
      <c r="I84" s="5"/>
      <c r="J84" s="5"/>
      <c r="K84" s="5"/>
      <c r="L84" s="5"/>
    </row>
    <row r="85" customFormat="false" ht="18" hidden="false" customHeight="true" outlineLevel="0" collapsed="false">
      <c r="A85" s="4" t="s">
        <v>781</v>
      </c>
      <c r="B85" s="5" t="s">
        <v>348</v>
      </c>
      <c r="C85" s="5"/>
      <c r="D85" s="5"/>
      <c r="E85" s="5"/>
      <c r="F85" s="5"/>
      <c r="G85" s="5"/>
      <c r="H85" s="5"/>
      <c r="I85" s="5"/>
      <c r="J85" s="5"/>
      <c r="K85" s="5"/>
      <c r="L85" s="5"/>
    </row>
    <row r="86" customFormat="false" ht="30" hidden="false" customHeight="true" outlineLevel="0" collapsed="false">
      <c r="A86" s="4" t="s">
        <v>782</v>
      </c>
      <c r="B86" s="5" t="s">
        <v>349</v>
      </c>
      <c r="C86" s="5"/>
      <c r="D86" s="5"/>
      <c r="E86" s="5"/>
      <c r="F86" s="5"/>
      <c r="G86" s="5"/>
      <c r="H86" s="5"/>
      <c r="I86" s="5"/>
      <c r="J86" s="5"/>
      <c r="K86" s="5"/>
      <c r="L86" s="5"/>
    </row>
    <row r="87" customFormat="false" ht="18" hidden="false" customHeight="true" outlineLevel="0" collapsed="false">
      <c r="A87" s="4" t="s">
        <v>783</v>
      </c>
      <c r="B87" s="5" t="s">
        <v>350</v>
      </c>
      <c r="C87" s="5"/>
      <c r="D87" s="5"/>
      <c r="E87" s="5"/>
      <c r="F87" s="5"/>
      <c r="G87" s="5"/>
      <c r="H87" s="5"/>
      <c r="I87" s="5"/>
      <c r="J87" s="5"/>
      <c r="K87" s="5"/>
      <c r="L87" s="5"/>
    </row>
    <row r="88" customFormat="false" ht="18" hidden="false" customHeight="true" outlineLevel="0" collapsed="false">
      <c r="A88" s="4" t="s">
        <v>784</v>
      </c>
      <c r="B88" s="5" t="s">
        <v>351</v>
      </c>
      <c r="C88" s="5"/>
      <c r="D88" s="5"/>
      <c r="E88" s="5"/>
      <c r="F88" s="5"/>
      <c r="G88" s="5"/>
      <c r="H88" s="5"/>
      <c r="I88" s="5"/>
      <c r="J88" s="5"/>
      <c r="K88" s="5"/>
      <c r="L88" s="5"/>
    </row>
    <row r="89" customFormat="false" ht="18" hidden="false" customHeight="true" outlineLevel="0" collapsed="false">
      <c r="A89" s="4" t="s">
        <v>785</v>
      </c>
      <c r="B89" s="5" t="s">
        <v>352</v>
      </c>
      <c r="C89" s="5"/>
      <c r="D89" s="5"/>
      <c r="E89" s="5"/>
      <c r="F89" s="5"/>
      <c r="G89" s="5"/>
      <c r="H89" s="5"/>
      <c r="I89" s="5"/>
      <c r="J89" s="5"/>
      <c r="K89" s="5"/>
      <c r="L89" s="5"/>
    </row>
    <row r="90" customFormat="false" ht="18" hidden="false" customHeight="true" outlineLevel="0" collapsed="false">
      <c r="A90" s="4" t="s">
        <v>839</v>
      </c>
      <c r="B90" s="5" t="s">
        <v>353</v>
      </c>
      <c r="C90" s="5"/>
      <c r="D90" s="5"/>
      <c r="E90" s="5"/>
      <c r="F90" s="5"/>
      <c r="G90" s="5"/>
      <c r="H90" s="5"/>
      <c r="I90" s="5"/>
      <c r="J90" s="5"/>
      <c r="K90" s="5"/>
      <c r="L90" s="5"/>
    </row>
    <row r="92" customFormat="false" ht="15" hidden="false" customHeight="false" outlineLevel="0" collapsed="false">
      <c r="A92" s="21" t="s">
        <v>1007</v>
      </c>
    </row>
    <row r="93" customFormat="false" ht="45" hidden="false" customHeight="true" outlineLevel="0" collapsed="false">
      <c r="A93" s="9" t="s">
        <v>62</v>
      </c>
      <c r="B93" s="5" t="s">
        <v>1008</v>
      </c>
      <c r="C93" s="5"/>
      <c r="D93" s="5"/>
      <c r="E93" s="5"/>
      <c r="F93" s="5"/>
      <c r="G93" s="5"/>
      <c r="H93" s="5"/>
      <c r="I93" s="5"/>
      <c r="J93" s="5"/>
      <c r="K93" s="5"/>
      <c r="L93" s="5"/>
    </row>
    <row r="94" customFormat="false" ht="18" hidden="false" customHeight="true" outlineLevel="0" collapsed="false">
      <c r="A94" s="4" t="s">
        <v>779</v>
      </c>
      <c r="B94" s="5" t="s">
        <v>483</v>
      </c>
      <c r="C94" s="5"/>
      <c r="D94" s="5"/>
      <c r="E94" s="5"/>
      <c r="F94" s="5"/>
      <c r="G94" s="5"/>
      <c r="H94" s="5"/>
      <c r="I94" s="5"/>
      <c r="J94" s="5"/>
      <c r="K94" s="5"/>
      <c r="L94" s="5"/>
    </row>
    <row r="95" customFormat="false" ht="30" hidden="false" customHeight="true" outlineLevel="0" collapsed="false">
      <c r="A95" s="4" t="s">
        <v>780</v>
      </c>
      <c r="B95" s="5" t="s">
        <v>484</v>
      </c>
      <c r="C95" s="5"/>
      <c r="D95" s="5"/>
      <c r="E95" s="5"/>
      <c r="F95" s="5"/>
      <c r="G95" s="5"/>
      <c r="H95" s="5"/>
      <c r="I95" s="5"/>
      <c r="J95" s="5"/>
      <c r="K95" s="5"/>
      <c r="L95" s="5"/>
    </row>
    <row r="96" customFormat="false" ht="18" hidden="false" customHeight="true" outlineLevel="0" collapsed="false">
      <c r="A96" s="4" t="s">
        <v>781</v>
      </c>
      <c r="B96" s="5" t="s">
        <v>485</v>
      </c>
      <c r="C96" s="5"/>
      <c r="D96" s="5"/>
      <c r="E96" s="5"/>
      <c r="F96" s="5"/>
      <c r="G96" s="5"/>
      <c r="H96" s="5"/>
      <c r="I96" s="5"/>
      <c r="J96" s="5"/>
      <c r="K96" s="5"/>
      <c r="L96" s="5"/>
    </row>
    <row r="97" customFormat="false" ht="18" hidden="false" customHeight="true" outlineLevel="0" collapsed="false">
      <c r="A97" s="4" t="s">
        <v>782</v>
      </c>
      <c r="B97" s="5" t="s">
        <v>486</v>
      </c>
      <c r="C97" s="5"/>
      <c r="D97" s="5"/>
      <c r="E97" s="5"/>
      <c r="F97" s="5"/>
      <c r="G97" s="5"/>
      <c r="H97" s="5"/>
      <c r="I97" s="5"/>
      <c r="J97" s="5"/>
      <c r="K97" s="5"/>
      <c r="L97" s="5"/>
    </row>
    <row r="98" customFormat="false" ht="18" hidden="false" customHeight="true" outlineLevel="0" collapsed="false">
      <c r="A98" s="4" t="s">
        <v>783</v>
      </c>
      <c r="B98" s="5" t="s">
        <v>487</v>
      </c>
      <c r="C98" s="5"/>
      <c r="D98" s="5"/>
      <c r="E98" s="5"/>
      <c r="F98" s="5"/>
      <c r="G98" s="5"/>
      <c r="H98" s="5"/>
      <c r="I98" s="5"/>
      <c r="J98" s="5"/>
      <c r="K98" s="5"/>
      <c r="L98" s="5"/>
    </row>
    <row r="99" customFormat="false" ht="18" hidden="false" customHeight="true" outlineLevel="0" collapsed="false">
      <c r="A99" s="4" t="s">
        <v>784</v>
      </c>
      <c r="B99" s="5" t="s">
        <v>488</v>
      </c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customFormat="false" ht="30" hidden="false" customHeight="true" outlineLevel="0" collapsed="false">
      <c r="A100" s="4" t="s">
        <v>785</v>
      </c>
      <c r="B100" s="5" t="s">
        <v>489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2" customFormat="false" ht="15" hidden="false" customHeight="false" outlineLevel="0" collapsed="false">
      <c r="A102" s="21" t="s">
        <v>1009</v>
      </c>
    </row>
    <row r="103" customFormat="false" ht="30" hidden="false" customHeight="true" outlineLevel="0" collapsed="false">
      <c r="A103" s="9" t="s">
        <v>62</v>
      </c>
      <c r="B103" s="5" t="s">
        <v>966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customFormat="false" ht="18" hidden="false" customHeight="true" outlineLevel="0" collapsed="false">
      <c r="A104" s="4" t="s">
        <v>779</v>
      </c>
      <c r="B104" s="5" t="s">
        <v>507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customFormat="false" ht="18" hidden="false" customHeight="true" outlineLevel="0" collapsed="false">
      <c r="A105" s="4" t="s">
        <v>780</v>
      </c>
      <c r="B105" s="5" t="s">
        <v>508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customFormat="false" ht="30" hidden="false" customHeight="true" outlineLevel="0" collapsed="false">
      <c r="A106" s="4" t="s">
        <v>781</v>
      </c>
      <c r="B106" s="5" t="s">
        <v>509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30" hidden="false" customHeight="true" outlineLevel="0" collapsed="false">
      <c r="A107" s="4" t="s">
        <v>782</v>
      </c>
      <c r="B107" s="5" t="s">
        <v>510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customFormat="false" ht="18" hidden="false" customHeight="true" outlineLevel="0" collapsed="false">
      <c r="A108" s="4" t="s">
        <v>783</v>
      </c>
      <c r="B108" s="5" t="s">
        <v>511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customFormat="false" ht="18" hidden="false" customHeight="true" outlineLevel="0" collapsed="false">
      <c r="A109" s="4" t="s">
        <v>784</v>
      </c>
      <c r="B109" s="5" t="s">
        <v>512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customFormat="false" ht="30" hidden="false" customHeight="true" outlineLevel="0" collapsed="false">
      <c r="A110" s="4" t="s">
        <v>785</v>
      </c>
      <c r="B110" s="5" t="s">
        <v>513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2" customFormat="false" ht="15" hidden="false" customHeight="false" outlineLevel="0" collapsed="false">
      <c r="A112" s="21" t="s">
        <v>1010</v>
      </c>
    </row>
    <row r="113" customFormat="false" ht="30" hidden="false" customHeight="true" outlineLevel="0" collapsed="false">
      <c r="A113" s="9" t="s">
        <v>62</v>
      </c>
      <c r="B113" s="5" t="s">
        <v>893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customFormat="false" ht="18" hidden="false" customHeight="true" outlineLevel="0" collapsed="false">
      <c r="A114" s="4" t="s">
        <v>779</v>
      </c>
      <c r="B114" s="5" t="s">
        <v>527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customFormat="false" ht="18" hidden="false" customHeight="true" outlineLevel="0" collapsed="false">
      <c r="A115" s="4" t="s">
        <v>780</v>
      </c>
      <c r="B115" s="5" t="s">
        <v>528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customFormat="false" ht="30" hidden="false" customHeight="true" outlineLevel="0" collapsed="false">
      <c r="A116" s="4" t="s">
        <v>781</v>
      </c>
      <c r="B116" s="5" t="s">
        <v>529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customFormat="false" ht="18" hidden="false" customHeight="true" outlineLevel="0" collapsed="false">
      <c r="A117" s="4" t="s">
        <v>782</v>
      </c>
      <c r="B117" s="5" t="s">
        <v>530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customFormat="false" ht="30" hidden="false" customHeight="true" outlineLevel="0" collapsed="false">
      <c r="A118" s="4" t="s">
        <v>783</v>
      </c>
      <c r="B118" s="5" t="s">
        <v>531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customFormat="false" ht="30" hidden="false" customHeight="true" outlineLevel="0" collapsed="false">
      <c r="A119" s="4" t="s">
        <v>784</v>
      </c>
      <c r="B119" s="5" t="s">
        <v>532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mergeCells count="41">
    <mergeCell ref="B71:L71"/>
    <mergeCell ref="B72:L72"/>
    <mergeCell ref="B73:L73"/>
    <mergeCell ref="B74:L74"/>
    <mergeCell ref="B75:L75"/>
    <mergeCell ref="B76:L76"/>
    <mergeCell ref="B77:L77"/>
    <mergeCell ref="B78:L78"/>
    <mergeCell ref="B79:L79"/>
    <mergeCell ref="B82:L82"/>
    <mergeCell ref="B83:L83"/>
    <mergeCell ref="B84:L84"/>
    <mergeCell ref="B85:L85"/>
    <mergeCell ref="B86:L86"/>
    <mergeCell ref="B87:L87"/>
    <mergeCell ref="B88:L88"/>
    <mergeCell ref="B89:L89"/>
    <mergeCell ref="B90:L90"/>
    <mergeCell ref="B93:L93"/>
    <mergeCell ref="B94:L94"/>
    <mergeCell ref="B95:L95"/>
    <mergeCell ref="B96:L96"/>
    <mergeCell ref="B97:L97"/>
    <mergeCell ref="B98:L98"/>
    <mergeCell ref="B99:L99"/>
    <mergeCell ref="B100:L100"/>
    <mergeCell ref="B103:L103"/>
    <mergeCell ref="B104:L104"/>
    <mergeCell ref="B105:L105"/>
    <mergeCell ref="B106:L106"/>
    <mergeCell ref="B107:L107"/>
    <mergeCell ref="B108:L108"/>
    <mergeCell ref="B109:L109"/>
    <mergeCell ref="B110:L110"/>
    <mergeCell ref="B113:L113"/>
    <mergeCell ref="B114:L114"/>
    <mergeCell ref="B115:L115"/>
    <mergeCell ref="B116:L116"/>
    <mergeCell ref="B117:L117"/>
    <mergeCell ref="B118:L118"/>
    <mergeCell ref="B119:L1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90.25" hidden="false" customHeight="false" outlineLevel="0" collapsed="false">
      <c r="A1" s="22" t="s">
        <v>1011</v>
      </c>
    </row>
    <row r="3" customFormat="false" ht="26.85" hidden="false" customHeight="false" outlineLevel="0" collapsed="false">
      <c r="A3" s="22" t="s">
        <v>1012</v>
      </c>
      <c r="B3" s="22" t="s">
        <v>1013</v>
      </c>
      <c r="C3" s="22" t="s">
        <v>1014</v>
      </c>
      <c r="D3" s="22" t="s">
        <v>1015</v>
      </c>
      <c r="E3" s="22" t="s">
        <v>1016</v>
      </c>
      <c r="F3" s="22" t="s">
        <v>1017</v>
      </c>
      <c r="G3" s="22" t="s">
        <v>1018</v>
      </c>
    </row>
    <row r="4" customFormat="false" ht="15" hidden="false" customHeight="false" outlineLevel="0" collapsed="false">
      <c r="A4" s="22" t="s">
        <v>1019</v>
      </c>
      <c r="B4" s="22" t="s">
        <v>19</v>
      </c>
      <c r="C4" s="22" t="n">
        <v>900</v>
      </c>
      <c r="D4" s="22" t="n">
        <v>4.75</v>
      </c>
      <c r="E4" s="22" t="n">
        <v>5.27777777777778</v>
      </c>
      <c r="F4" s="22" t="n">
        <v>2</v>
      </c>
      <c r="G4" s="22" t="n">
        <v>2.375</v>
      </c>
    </row>
    <row r="5" customFormat="false" ht="15" hidden="false" customHeight="false" outlineLevel="0" collapsed="false">
      <c r="A5" s="22" t="s">
        <v>1019</v>
      </c>
      <c r="B5" s="22" t="s">
        <v>23</v>
      </c>
      <c r="C5" s="22" t="n">
        <v>900</v>
      </c>
      <c r="D5" s="22" t="n">
        <v>4.65</v>
      </c>
      <c r="E5" s="22" t="n">
        <v>5.16666666666667</v>
      </c>
      <c r="F5" s="22" t="n">
        <v>2</v>
      </c>
      <c r="G5" s="22" t="n">
        <v>2.325</v>
      </c>
    </row>
    <row r="6" customFormat="false" ht="15" hidden="false" customHeight="false" outlineLevel="0" collapsed="false">
      <c r="A6" s="22" t="s">
        <v>1019</v>
      </c>
      <c r="B6" s="22" t="s">
        <v>27</v>
      </c>
      <c r="C6" s="22" t="n">
        <v>1000</v>
      </c>
      <c r="D6" s="22" t="n">
        <v>5.79</v>
      </c>
      <c r="E6" s="22" t="n">
        <v>5.79</v>
      </c>
      <c r="F6" s="22" t="n">
        <v>2</v>
      </c>
      <c r="G6" s="22" t="n">
        <v>2.895</v>
      </c>
    </row>
    <row r="7" customFormat="false" ht="15" hidden="false" customHeight="false" outlineLevel="0" collapsed="false">
      <c r="A7" s="22" t="s">
        <v>1019</v>
      </c>
      <c r="B7" s="22" t="s">
        <v>31</v>
      </c>
      <c r="C7" s="22" t="n">
        <v>900</v>
      </c>
      <c r="D7" s="22" t="n">
        <v>4.95</v>
      </c>
      <c r="E7" s="22" t="n">
        <v>5.5</v>
      </c>
      <c r="F7" s="22" t="n">
        <v>2</v>
      </c>
      <c r="G7" s="22" t="n">
        <v>2.475</v>
      </c>
    </row>
    <row r="8" customFormat="false" ht="15" hidden="false" customHeight="false" outlineLevel="0" collapsed="false">
      <c r="A8" s="22" t="s">
        <v>1019</v>
      </c>
      <c r="B8" s="22" t="s">
        <v>35</v>
      </c>
      <c r="C8" s="22" t="n">
        <v>900</v>
      </c>
      <c r="D8" s="22" t="n">
        <v>4.65</v>
      </c>
      <c r="E8" s="22" t="n">
        <v>5.16666666666667</v>
      </c>
      <c r="F8" s="22" t="n">
        <v>2</v>
      </c>
      <c r="G8" s="22" t="n">
        <v>2.325</v>
      </c>
    </row>
    <row r="9" customFormat="false" ht="15" hidden="false" customHeight="false" outlineLevel="0" collapsed="false">
      <c r="A9" s="22" t="s">
        <v>1019</v>
      </c>
      <c r="B9" s="22" t="s">
        <v>39</v>
      </c>
      <c r="C9" s="22" t="n">
        <v>900</v>
      </c>
      <c r="D9" s="22" t="n">
        <v>4.95</v>
      </c>
      <c r="E9" s="22" t="n">
        <v>5.5</v>
      </c>
      <c r="F9" s="22" t="n">
        <v>2</v>
      </c>
      <c r="G9" s="22" t="n">
        <v>2.475</v>
      </c>
    </row>
    <row r="10" customFormat="false" ht="15" hidden="false" customHeight="false" outlineLevel="0" collapsed="false">
      <c r="A10" s="22" t="s">
        <v>1019</v>
      </c>
      <c r="B10" s="22" t="s">
        <v>43</v>
      </c>
      <c r="C10" s="22" t="n">
        <v>750</v>
      </c>
      <c r="D10" s="22" t="n">
        <v>3.95</v>
      </c>
      <c r="E10" s="22" t="n">
        <v>5.26666666666667</v>
      </c>
      <c r="F10" s="22" t="n">
        <v>2</v>
      </c>
      <c r="G10" s="22" t="n">
        <v>1.975</v>
      </c>
    </row>
    <row r="11" customFormat="false" ht="15" hidden="false" customHeight="false" outlineLevel="0" collapsed="false">
      <c r="A11" s="22" t="s">
        <v>1019</v>
      </c>
      <c r="B11" s="22" t="s">
        <v>47</v>
      </c>
      <c r="C11" s="22" t="n">
        <v>900</v>
      </c>
      <c r="D11" s="22" t="n">
        <v>4.95</v>
      </c>
      <c r="E11" s="22" t="n">
        <v>5.5</v>
      </c>
      <c r="F11" s="22" t="n">
        <v>2</v>
      </c>
      <c r="G11" s="22" t="n">
        <v>2.475</v>
      </c>
    </row>
    <row r="12" customFormat="false" ht="15" hidden="false" customHeight="false" outlineLevel="0" collapsed="false">
      <c r="A12" s="22" t="s">
        <v>1019</v>
      </c>
      <c r="B12" s="22" t="s">
        <v>51</v>
      </c>
      <c r="C12" s="22" t="n">
        <v>750</v>
      </c>
      <c r="D12" s="22" t="n">
        <v>3.99</v>
      </c>
      <c r="E12" s="22" t="n">
        <v>5.32</v>
      </c>
      <c r="F12" s="22" t="n">
        <v>2</v>
      </c>
      <c r="G12" s="22" t="n">
        <v>1.995</v>
      </c>
    </row>
    <row r="13" customFormat="false" ht="15" hidden="false" customHeight="false" outlineLevel="0" collapsed="false">
      <c r="A13" s="22" t="s">
        <v>1019</v>
      </c>
      <c r="B13" s="22" t="s">
        <v>1020</v>
      </c>
      <c r="C13" s="22" t="n">
        <v>750</v>
      </c>
      <c r="D13" s="22" t="n">
        <v>3.99</v>
      </c>
      <c r="E13" s="22" t="n">
        <v>5.32</v>
      </c>
      <c r="F13" s="22" t="n">
        <v>2</v>
      </c>
      <c r="G13" s="22" t="n">
        <v>1.995</v>
      </c>
    </row>
    <row r="14" customFormat="false" ht="15" hidden="false" customHeight="false" outlineLevel="0" collapsed="false">
      <c r="A14" s="22" t="s">
        <v>1019</v>
      </c>
      <c r="B14" s="22" t="s">
        <v>1021</v>
      </c>
      <c r="C14" s="22" t="n">
        <v>900</v>
      </c>
      <c r="D14" s="22" t="n">
        <v>5.09</v>
      </c>
      <c r="E14" s="22" t="n">
        <v>5.65555555555556</v>
      </c>
      <c r="F14" s="22" t="n">
        <v>2</v>
      </c>
      <c r="G14" s="22" t="n">
        <v>2.545</v>
      </c>
    </row>
    <row r="15" customFormat="false" ht="15" hidden="false" customHeight="false" outlineLevel="0" collapsed="false">
      <c r="A15" s="22" t="s">
        <v>1019</v>
      </c>
      <c r="B15" s="22" t="s">
        <v>1022</v>
      </c>
      <c r="C15" s="22" t="n">
        <v>900</v>
      </c>
      <c r="D15" s="22" t="n">
        <v>5.29</v>
      </c>
      <c r="E15" s="22" t="n">
        <v>5.87777777777778</v>
      </c>
      <c r="F15" s="22" t="n">
        <v>2</v>
      </c>
      <c r="G15" s="22" t="n">
        <v>2.645</v>
      </c>
    </row>
    <row r="16" customFormat="false" ht="15" hidden="false" customHeight="false" outlineLevel="0" collapsed="false">
      <c r="A16" s="22" t="s">
        <v>1019</v>
      </c>
      <c r="B16" s="22" t="s">
        <v>1023</v>
      </c>
      <c r="C16" s="22" t="n">
        <v>1000</v>
      </c>
      <c r="D16" s="22" t="n">
        <v>6.19</v>
      </c>
      <c r="E16" s="22" t="n">
        <v>6.19</v>
      </c>
      <c r="F16" s="22" t="n">
        <v>2</v>
      </c>
      <c r="G16" s="22" t="n">
        <v>3.095</v>
      </c>
    </row>
    <row r="17" customFormat="false" ht="15" hidden="false" customHeight="false" outlineLevel="0" collapsed="false">
      <c r="A17" s="22" t="s">
        <v>1019</v>
      </c>
      <c r="B17" s="22" t="s">
        <v>1024</v>
      </c>
      <c r="C17" s="22" t="n">
        <v>450</v>
      </c>
      <c r="D17" s="22" t="n">
        <v>3.19</v>
      </c>
      <c r="E17" s="22" t="n">
        <v>7.08888888888889</v>
      </c>
      <c r="F17" s="22" t="n">
        <v>1</v>
      </c>
      <c r="G17" s="22" t="n">
        <v>3.19</v>
      </c>
    </row>
    <row r="18" customFormat="false" ht="15" hidden="false" customHeight="false" outlineLevel="0" collapsed="false">
      <c r="A18" s="22" t="s">
        <v>5</v>
      </c>
      <c r="B18" s="22" t="s">
        <v>20</v>
      </c>
      <c r="C18" s="22" t="n">
        <v>400</v>
      </c>
      <c r="D18" s="22" t="n">
        <v>2.15</v>
      </c>
      <c r="E18" s="22" t="n">
        <v>5.375</v>
      </c>
      <c r="F18" s="22" t="n">
        <v>1</v>
      </c>
      <c r="G18" s="22" t="n">
        <v>2.15</v>
      </c>
    </row>
    <row r="19" customFormat="false" ht="15" hidden="false" customHeight="false" outlineLevel="0" collapsed="false">
      <c r="A19" s="22" t="s">
        <v>5</v>
      </c>
      <c r="B19" s="22" t="s">
        <v>24</v>
      </c>
      <c r="C19" s="22" t="n">
        <v>340</v>
      </c>
      <c r="D19" s="22" t="n">
        <v>2.89</v>
      </c>
      <c r="E19" s="22" t="n">
        <v>8.5</v>
      </c>
      <c r="F19" s="22" t="n">
        <v>1</v>
      </c>
      <c r="G19" s="22" t="n">
        <v>2.89</v>
      </c>
    </row>
    <row r="20" customFormat="false" ht="15" hidden="false" customHeight="false" outlineLevel="0" collapsed="false">
      <c r="A20" s="22" t="s">
        <v>5</v>
      </c>
      <c r="B20" s="22" t="s">
        <v>28</v>
      </c>
      <c r="C20" s="22" t="n">
        <v>390</v>
      </c>
      <c r="D20" s="22" t="n">
        <v>2.49</v>
      </c>
      <c r="E20" s="22" t="n">
        <v>6.38461538461539</v>
      </c>
      <c r="F20" s="22" t="n">
        <v>1</v>
      </c>
      <c r="G20" s="22" t="n">
        <v>2.49</v>
      </c>
    </row>
    <row r="21" customFormat="false" ht="15" hidden="false" customHeight="false" outlineLevel="0" collapsed="false">
      <c r="A21" s="22" t="s">
        <v>5</v>
      </c>
      <c r="B21" s="22" t="s">
        <v>32</v>
      </c>
      <c r="C21" s="22" t="n">
        <v>390</v>
      </c>
      <c r="D21" s="22" t="n">
        <v>2.05</v>
      </c>
      <c r="E21" s="22" t="n">
        <v>5.25641025641026</v>
      </c>
      <c r="F21" s="22" t="n">
        <v>1</v>
      </c>
      <c r="G21" s="22" t="n">
        <v>2.05</v>
      </c>
    </row>
    <row r="22" customFormat="false" ht="15" hidden="false" customHeight="false" outlineLevel="0" collapsed="false">
      <c r="A22" s="22" t="s">
        <v>5</v>
      </c>
      <c r="B22" s="22" t="s">
        <v>36</v>
      </c>
      <c r="C22" s="22" t="n">
        <v>340</v>
      </c>
      <c r="D22" s="22" t="n">
        <v>2.55</v>
      </c>
      <c r="E22" s="22" t="n">
        <v>7.5</v>
      </c>
      <c r="F22" s="22" t="n">
        <v>1</v>
      </c>
      <c r="G22" s="22" t="n">
        <v>2.55</v>
      </c>
    </row>
    <row r="23" customFormat="false" ht="15" hidden="false" customHeight="false" outlineLevel="0" collapsed="false">
      <c r="A23" s="22" t="s">
        <v>5</v>
      </c>
      <c r="B23" s="22" t="s">
        <v>40</v>
      </c>
      <c r="C23" s="22" t="n">
        <v>390</v>
      </c>
      <c r="D23" s="22" t="n">
        <v>3.09</v>
      </c>
      <c r="E23" s="22" t="n">
        <v>7.92307692307692</v>
      </c>
      <c r="F23" s="22" t="n">
        <v>1</v>
      </c>
      <c r="G23" s="22" t="n">
        <v>3.09</v>
      </c>
    </row>
    <row r="24" customFormat="false" ht="15" hidden="false" customHeight="false" outlineLevel="0" collapsed="false">
      <c r="A24" s="22" t="s">
        <v>5</v>
      </c>
      <c r="B24" s="22" t="s">
        <v>44</v>
      </c>
      <c r="C24" s="22" t="n">
        <v>355</v>
      </c>
      <c r="D24" s="22" t="n">
        <v>3.09</v>
      </c>
      <c r="E24" s="22" t="n">
        <v>8.70422535211268</v>
      </c>
      <c r="F24" s="22" t="n">
        <v>1</v>
      </c>
      <c r="G24" s="22" t="n">
        <v>3.09</v>
      </c>
    </row>
    <row r="25" customFormat="false" ht="15" hidden="false" customHeight="false" outlineLevel="0" collapsed="false">
      <c r="A25" s="22" t="s">
        <v>5</v>
      </c>
      <c r="B25" s="22" t="s">
        <v>48</v>
      </c>
      <c r="C25" s="22" t="n">
        <v>390</v>
      </c>
      <c r="D25" s="22" t="n">
        <v>2.99</v>
      </c>
      <c r="E25" s="22" t="n">
        <v>7.66666666666667</v>
      </c>
      <c r="F25" s="22" t="n">
        <v>1</v>
      </c>
      <c r="G25" s="22" t="n">
        <v>2.99</v>
      </c>
    </row>
    <row r="26" customFormat="false" ht="26.85" hidden="false" customHeight="false" outlineLevel="0" collapsed="false">
      <c r="A26" s="22" t="s">
        <v>5</v>
      </c>
      <c r="B26" s="22" t="s">
        <v>1025</v>
      </c>
      <c r="C26" s="22" t="n">
        <v>400</v>
      </c>
      <c r="D26" s="22" t="n">
        <v>7.69</v>
      </c>
      <c r="E26" s="22" t="n">
        <v>6.40833333333333</v>
      </c>
      <c r="F26" s="22" t="n">
        <v>3</v>
      </c>
      <c r="G26" s="22" t="n">
        <v>2.56333333333333</v>
      </c>
    </row>
    <row r="27" customFormat="false" ht="15" hidden="false" customHeight="false" outlineLevel="0" collapsed="false">
      <c r="A27" s="22" t="s">
        <v>5</v>
      </c>
      <c r="B27" s="22" t="s">
        <v>1026</v>
      </c>
      <c r="C27" s="22" t="n">
        <v>340</v>
      </c>
      <c r="D27" s="22" t="n">
        <v>5.89</v>
      </c>
      <c r="E27" s="22" t="n">
        <v>5.77450980392157</v>
      </c>
      <c r="F27" s="22" t="n">
        <v>3</v>
      </c>
      <c r="G27" s="22" t="n">
        <v>1.96333333333333</v>
      </c>
    </row>
    <row r="28" customFormat="false" ht="15" hidden="false" customHeight="false" outlineLevel="0" collapsed="false">
      <c r="A28" s="22" t="s">
        <v>5</v>
      </c>
      <c r="B28" s="22" t="s">
        <v>1027</v>
      </c>
      <c r="C28" s="22" t="n">
        <v>400</v>
      </c>
      <c r="D28" s="22" t="n">
        <v>3.49</v>
      </c>
      <c r="E28" s="22" t="n">
        <v>8.725</v>
      </c>
      <c r="F28" s="22" t="n">
        <v>1</v>
      </c>
      <c r="G28" s="22" t="n">
        <v>3.49</v>
      </c>
    </row>
    <row r="29" customFormat="false" ht="15" hidden="false" customHeight="false" outlineLevel="0" collapsed="false">
      <c r="A29" s="22" t="s">
        <v>5</v>
      </c>
      <c r="B29" s="22" t="s">
        <v>1028</v>
      </c>
      <c r="C29" s="22" t="n">
        <v>500</v>
      </c>
      <c r="D29" s="22" t="n">
        <v>4.69</v>
      </c>
      <c r="E29" s="22" t="n">
        <v>9.38</v>
      </c>
      <c r="F29" s="22" t="n">
        <v>1</v>
      </c>
      <c r="G29" s="22" t="n">
        <v>4.69</v>
      </c>
    </row>
    <row r="30" customFormat="false" ht="15" hidden="false" customHeight="false" outlineLevel="0" collapsed="false">
      <c r="A30" s="22" t="s">
        <v>5</v>
      </c>
      <c r="B30" s="22" t="s">
        <v>1029</v>
      </c>
      <c r="C30" s="22" t="n">
        <v>600</v>
      </c>
      <c r="D30" s="22" t="n">
        <v>2.79</v>
      </c>
      <c r="E30" s="22" t="n">
        <v>4.65</v>
      </c>
      <c r="F30" s="22" t="n">
        <v>1</v>
      </c>
      <c r="G30" s="22" t="n">
        <v>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6.85" hidden="false" customHeight="false" outlineLevel="0" collapsed="false">
      <c r="A1" s="22" t="s">
        <v>1030</v>
      </c>
    </row>
    <row r="2" customFormat="false" ht="52.2" hidden="false" customHeight="false" outlineLevel="0" collapsed="false">
      <c r="A2" s="22" t="s">
        <v>1031</v>
      </c>
    </row>
    <row r="3" customFormat="false" ht="26.85" hidden="false" customHeight="false" outlineLevel="0" collapsed="false">
      <c r="A3" s="22" t="s">
        <v>1032</v>
      </c>
    </row>
    <row r="4" customFormat="false" ht="26.85" hidden="false" customHeight="false" outlineLevel="0" collapsed="false">
      <c r="A4" s="22" t="s">
        <v>1033</v>
      </c>
    </row>
    <row r="5" customFormat="false" ht="26.85" hidden="false" customHeight="false" outlineLevel="0" collapsed="false">
      <c r="A5" s="22" t="s">
        <v>1034</v>
      </c>
    </row>
    <row r="6" customFormat="false" ht="26.85" hidden="false" customHeight="false" outlineLevel="0" collapsed="false">
      <c r="A6" s="22" t="s">
        <v>1035</v>
      </c>
    </row>
    <row r="7" customFormat="false" ht="26.85" hidden="false" customHeight="false" outlineLevel="0" collapsed="false">
      <c r="A7" s="22" t="s">
        <v>1036</v>
      </c>
    </row>
    <row r="8" customFormat="false" ht="26.85" hidden="false" customHeight="false" outlineLevel="0" collapsed="false">
      <c r="A8" s="22" t="s">
        <v>1037</v>
      </c>
    </row>
    <row r="10" customFormat="false" ht="48" hidden="false" customHeight="true" outlineLevel="0" collapsed="false">
      <c r="A10" s="22" t="s">
        <v>1038</v>
      </c>
    </row>
    <row r="11" customFormat="false" ht="48" hidden="false" customHeight="true" outlineLevel="0" collapsed="false">
      <c r="A11" s="22" t="s">
        <v>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2026-10-12T15:17:41Z</dcterms:created>
  <dc:creator>openpyxl</dc:creator>
  <dc:description/>
  <dc:language>en-US</dc:language>
  <cp:lastModifiedBy/>
  <dcterms:modified xsi:type="dcterms:W3CDTF">2026-10-12T15:17:43Z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